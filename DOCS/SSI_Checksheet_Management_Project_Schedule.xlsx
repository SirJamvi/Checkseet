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32.22\www\csms\DOCS\"/>
    </mc:Choice>
  </mc:AlternateContent>
  <bookViews>
    <workbookView xWindow="0" yWindow="0" windowWidth="24000" windowHeight="9750"/>
  </bookViews>
  <sheets>
    <sheet name="Sheet1" sheetId="1" r:id="rId1"/>
  </sheets>
  <definedNames>
    <definedName name="prevWBS" localSheetId="0">Sheet1!$A1048576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1" i="1" l="1"/>
  <c r="E74" i="1" l="1"/>
  <c r="E73" i="1"/>
  <c r="E72" i="1"/>
  <c r="E71" i="1"/>
  <c r="A71" i="1"/>
  <c r="A72" i="1" s="1"/>
  <c r="A73" i="1" s="1"/>
  <c r="A74" i="1" s="1"/>
  <c r="E70" i="1"/>
  <c r="E69" i="1"/>
  <c r="E68" i="1"/>
  <c r="E67" i="1"/>
  <c r="A81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0" i="1" l="1"/>
  <c r="E19" i="1"/>
  <c r="E18" i="1"/>
  <c r="E15" i="1" l="1"/>
  <c r="G4" i="1" l="1"/>
  <c r="G8" i="1" l="1"/>
  <c r="E12" i="1"/>
  <c r="E13" i="1"/>
  <c r="E14" i="1"/>
  <c r="E16" i="1"/>
  <c r="E17" i="1"/>
  <c r="E21" i="1"/>
  <c r="E82" i="1"/>
  <c r="E11" i="1"/>
  <c r="A10" i="1"/>
  <c r="A11" i="1" s="1"/>
  <c r="A12" i="1" s="1"/>
  <c r="A13" i="1" s="1"/>
  <c r="A14" i="1" s="1"/>
  <c r="A15" i="1" l="1"/>
  <c r="H8" i="1"/>
  <c r="G7" i="1"/>
  <c r="G9" i="1"/>
  <c r="H9" i="1"/>
  <c r="I8" i="1"/>
  <c r="G6" i="1"/>
  <c r="A16" i="1" l="1"/>
  <c r="A17" i="1" s="1"/>
  <c r="J8" i="1"/>
  <c r="I9" i="1"/>
  <c r="A18" i="1" l="1"/>
  <c r="A19" i="1" s="1"/>
  <c r="A20" i="1" s="1"/>
  <c r="A21" i="1" s="1"/>
  <c r="K8" i="1"/>
  <c r="J9" i="1"/>
  <c r="A22" i="1" l="1"/>
  <c r="A23" i="1" s="1"/>
  <c r="A24" i="1" s="1"/>
  <c r="A25" i="1" s="1"/>
  <c r="A26" i="1" s="1"/>
  <c r="A27" i="1" s="1"/>
  <c r="K9" i="1"/>
  <c r="L8" i="1"/>
  <c r="A28" i="1" l="1"/>
  <c r="A29" i="1" s="1"/>
  <c r="A30" i="1" s="1"/>
  <c r="A31" i="1" s="1"/>
  <c r="A32" i="1" s="1"/>
  <c r="A33" i="1" s="1"/>
  <c r="A34" i="1" s="1"/>
  <c r="M8" i="1"/>
  <c r="L9" i="1"/>
  <c r="A35" i="1" l="1"/>
  <c r="A36" i="1" s="1"/>
  <c r="A37" i="1" s="1"/>
  <c r="A38" i="1" s="1"/>
  <c r="M9" i="1"/>
  <c r="N8" i="1"/>
  <c r="N7" i="1" s="1"/>
  <c r="A82" i="1" l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O8" i="1"/>
  <c r="N9" i="1"/>
  <c r="N6" i="1"/>
  <c r="P8" i="1" l="1"/>
  <c r="O9" i="1"/>
  <c r="Q8" i="1" l="1"/>
  <c r="P9" i="1"/>
  <c r="Q9" i="1" l="1"/>
  <c r="R8" i="1"/>
  <c r="R9" i="1" l="1"/>
  <c r="S8" i="1"/>
  <c r="S9" i="1" l="1"/>
  <c r="T8" i="1"/>
  <c r="U8" i="1" l="1"/>
  <c r="U7" i="1" s="1"/>
  <c r="T9" i="1"/>
  <c r="U6" i="1" l="1"/>
  <c r="U9" i="1"/>
  <c r="V8" i="1"/>
  <c r="W8" i="1" l="1"/>
  <c r="V9" i="1"/>
  <c r="X8" i="1" l="1"/>
  <c r="W9" i="1"/>
  <c r="X9" i="1" l="1"/>
  <c r="Y8" i="1"/>
  <c r="Y9" i="1" l="1"/>
  <c r="Z8" i="1"/>
  <c r="Z9" i="1" l="1"/>
  <c r="AA8" i="1"/>
  <c r="AA9" i="1" l="1"/>
  <c r="AB8" i="1"/>
  <c r="AB7" i="1" s="1"/>
  <c r="AB9" i="1" l="1"/>
  <c r="AC8" i="1"/>
  <c r="AB6" i="1"/>
  <c r="AD8" i="1" l="1"/>
  <c r="AC9" i="1"/>
  <c r="AE8" i="1" l="1"/>
  <c r="AD9" i="1"/>
  <c r="AF8" i="1" l="1"/>
  <c r="AE9" i="1"/>
  <c r="AG8" i="1" l="1"/>
  <c r="AF9" i="1"/>
  <c r="AG9" i="1" l="1"/>
  <c r="AH8" i="1"/>
  <c r="AI8" i="1" l="1"/>
  <c r="AI7" i="1" s="1"/>
  <c r="AH9" i="1"/>
  <c r="AI6" i="1" l="1"/>
  <c r="AJ8" i="1"/>
  <c r="AI9" i="1"/>
  <c r="AJ9" i="1" l="1"/>
  <c r="AK8" i="1"/>
  <c r="AL8" i="1" l="1"/>
  <c r="AK9" i="1"/>
  <c r="AM8" i="1" l="1"/>
  <c r="AL9" i="1"/>
  <c r="AN8" i="1" l="1"/>
  <c r="AM9" i="1"/>
  <c r="AN9" i="1" l="1"/>
  <c r="AO8" i="1"/>
  <c r="AP8" i="1" l="1"/>
  <c r="AP7" i="1" s="1"/>
  <c r="AO9" i="1"/>
  <c r="AP6" i="1" l="1"/>
  <c r="AQ8" i="1"/>
  <c r="AP9" i="1"/>
  <c r="AR8" i="1" l="1"/>
  <c r="AQ9" i="1"/>
  <c r="AR9" i="1" l="1"/>
  <c r="AS8" i="1"/>
  <c r="AT8" i="1" l="1"/>
  <c r="AS9" i="1"/>
  <c r="AU8" i="1" l="1"/>
  <c r="AT9" i="1"/>
  <c r="AU9" i="1" l="1"/>
  <c r="AV8" i="1"/>
  <c r="AW8" i="1" l="1"/>
  <c r="AW7" i="1" s="1"/>
  <c r="AV9" i="1"/>
  <c r="AW6" i="1" l="1"/>
  <c r="AW9" i="1"/>
  <c r="AX8" i="1"/>
  <c r="AY8" i="1" l="1"/>
  <c r="AX9" i="1"/>
  <c r="AY9" i="1" l="1"/>
  <c r="AZ8" i="1"/>
  <c r="AZ9" i="1" l="1"/>
  <c r="BA8" i="1"/>
  <c r="BA9" i="1" l="1"/>
  <c r="BB8" i="1"/>
  <c r="BC8" i="1" l="1"/>
  <c r="BB9" i="1"/>
  <c r="BC9" i="1" l="1"/>
  <c r="BD8" i="1"/>
  <c r="BD7" i="1" s="1"/>
  <c r="BD6" i="1" l="1"/>
  <c r="BD9" i="1"/>
  <c r="BE8" i="1"/>
  <c r="BE9" i="1" l="1"/>
  <c r="BF8" i="1"/>
  <c r="BF9" i="1" l="1"/>
  <c r="BG8" i="1"/>
  <c r="BH8" i="1" l="1"/>
  <c r="BG9" i="1"/>
  <c r="BI8" i="1" l="1"/>
  <c r="BH9" i="1"/>
  <c r="BI9" i="1" l="1"/>
  <c r="BJ8" i="1"/>
  <c r="BJ9" i="1" s="1"/>
</calcChain>
</file>

<file path=xl/sharedStrings.xml><?xml version="1.0" encoding="utf-8"?>
<sst xmlns="http://schemas.openxmlformats.org/spreadsheetml/2006/main" count="80" uniqueCount="47">
  <si>
    <t>PT. Sharp Semiconductor Indonesia</t>
  </si>
  <si>
    <t>No</t>
  </si>
  <si>
    <t>Preparation</t>
  </si>
  <si>
    <t>SSI Meeting &amp; Planing</t>
  </si>
  <si>
    <t>TASK NAME</t>
  </si>
  <si>
    <t>DAYS</t>
  </si>
  <si>
    <t>START</t>
  </si>
  <si>
    <t>END</t>
  </si>
  <si>
    <t>PROGRESS</t>
  </si>
  <si>
    <t>Project Start</t>
  </si>
  <si>
    <t>Project Manager</t>
  </si>
  <si>
    <t>Week to Display</t>
  </si>
  <si>
    <t>Mokhamad Yusuf</t>
  </si>
  <si>
    <t>Today</t>
  </si>
  <si>
    <t>Kick off Meeting</t>
  </si>
  <si>
    <t>Requirement</t>
  </si>
  <si>
    <t>Design SL-CS-009 P1</t>
  </si>
  <si>
    <t>Development SL-CS-009 P1</t>
  </si>
  <si>
    <t>Input test SL-CS-009 P1</t>
  </si>
  <si>
    <t>Design SL-CS-009 P2</t>
  </si>
  <si>
    <t>Development SL-CS-009 P2</t>
  </si>
  <si>
    <t>Input test SL-CS-009 P2</t>
  </si>
  <si>
    <t>SL 5.6 Cap Seal SL-CS-009</t>
  </si>
  <si>
    <t>Design</t>
  </si>
  <si>
    <t>Development</t>
  </si>
  <si>
    <t>Design P1</t>
  </si>
  <si>
    <t>Development P1</t>
  </si>
  <si>
    <t>Input test P1</t>
  </si>
  <si>
    <t>Design P2</t>
  </si>
  <si>
    <t>Development P2</t>
  </si>
  <si>
    <t>Input test P2</t>
  </si>
  <si>
    <t>Input test</t>
  </si>
  <si>
    <t>SL 5.6 Procont Pin DB</t>
  </si>
  <si>
    <t>SL 5.6 Procont LD DB1</t>
  </si>
  <si>
    <t>SL 5.6 Procont LD DB2</t>
  </si>
  <si>
    <t>SL 5.6 Insp. LD DB2</t>
  </si>
  <si>
    <t>SL 5.6 Burn In</t>
  </si>
  <si>
    <t>SL 5.6 Final Test</t>
  </si>
  <si>
    <t>SL 5.6 Visual Insp.</t>
  </si>
  <si>
    <t>SL 5.6 Leak Test.</t>
  </si>
  <si>
    <t>Live</t>
  </si>
  <si>
    <t>SL 5.6 Hot Test.</t>
  </si>
  <si>
    <t>SL 5.6 Marking</t>
  </si>
  <si>
    <t>UAT</t>
  </si>
  <si>
    <t>SL 5.6 Wire Bonding</t>
  </si>
  <si>
    <t>SL 5.6 Wire Bonding High Power</t>
  </si>
  <si>
    <t>SSI Checksheet Management Project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</si>
</sst>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"/>
    <numFmt numFmtId="165" formatCode="ddd\,\ mmm/dd/yyyy"/>
    <numFmt numFmtId="166" formatCode="mmm/dd/yyyy"/>
    <numFmt numFmtId="167" formatCode="mmmm"/>
    <numFmt numFmtId="168" formatCode="dddd\,\ mmmm/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2" borderId="1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vertical="center"/>
    </xf>
    <xf numFmtId="0" fontId="4" fillId="0" borderId="2" xfId="0" applyNumberFormat="1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left" vertical="center" wrapText="1" indent="1"/>
    </xf>
    <xf numFmtId="9" fontId="5" fillId="3" borderId="3" xfId="1" applyFont="1" applyFill="1" applyBorder="1" applyAlignment="1" applyProtection="1">
      <alignment horizontal="center" vertical="center"/>
    </xf>
    <xf numFmtId="164" fontId="0" fillId="2" borderId="0" xfId="0" applyNumberFormat="1" applyFill="1"/>
    <xf numFmtId="0" fontId="0" fillId="2" borderId="0" xfId="0" applyFill="1"/>
    <xf numFmtId="164" fontId="0" fillId="5" borderId="0" xfId="0" applyNumberFormat="1" applyFill="1"/>
    <xf numFmtId="0" fontId="0" fillId="5" borderId="0" xfId="0" applyFill="1"/>
    <xf numFmtId="164" fontId="0" fillId="6" borderId="0" xfId="0" applyNumberFormat="1" applyFill="1"/>
    <xf numFmtId="0" fontId="0" fillId="6" borderId="0" xfId="0" applyFill="1"/>
    <xf numFmtId="164" fontId="0" fillId="7" borderId="0" xfId="0" applyNumberFormat="1" applyFill="1"/>
    <xf numFmtId="0" fontId="0" fillId="7" borderId="0" xfId="0" applyFill="1"/>
    <xf numFmtId="166" fontId="5" fillId="4" borderId="3" xfId="0" applyNumberFormat="1" applyFont="1" applyFill="1" applyBorder="1" applyAlignment="1" applyProtection="1">
      <alignment horizontal="center" vertical="center"/>
    </xf>
    <xf numFmtId="166" fontId="5" fillId="0" borderId="3" xfId="0" applyNumberFormat="1" applyFont="1" applyBorder="1" applyAlignment="1" applyProtection="1">
      <alignment horizontal="center" vertical="center"/>
    </xf>
    <xf numFmtId="164" fontId="6" fillId="2" borderId="4" xfId="0" applyNumberFormat="1" applyFont="1" applyFill="1" applyBorder="1" applyAlignment="1" applyProtection="1">
      <alignment horizontal="center" vertical="center" shrinkToFit="1"/>
    </xf>
    <xf numFmtId="0" fontId="8" fillId="0" borderId="0" xfId="0" applyFont="1"/>
    <xf numFmtId="167" fontId="0" fillId="5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7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165" fontId="7" fillId="4" borderId="0" xfId="0" applyNumberFormat="1" applyFont="1" applyFill="1" applyBorder="1" applyAlignment="1" applyProtection="1">
      <alignment horizontal="left" vertical="center"/>
    </xf>
    <xf numFmtId="168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13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2"/>
  <sheetViews>
    <sheetView tabSelected="1" workbookViewId="0">
      <selection activeCell="D18" sqref="D18"/>
    </sheetView>
  </sheetViews>
  <sheetFormatPr defaultRowHeight="15" x14ac:dyDescent="0.25"/>
  <cols>
    <col min="1" max="1" width="4.42578125" customWidth="1"/>
    <col min="2" max="2" width="33.28515625" bestFit="1" customWidth="1"/>
    <col min="3" max="3" width="5.5703125" customWidth="1"/>
    <col min="4" max="5" width="12" bestFit="1" customWidth="1"/>
    <col min="6" max="6" width="10.42578125" bestFit="1" customWidth="1"/>
    <col min="7" max="62" width="3.28515625" customWidth="1"/>
  </cols>
  <sheetData>
    <row r="1" spans="1:62" ht="21" x14ac:dyDescent="0.35">
      <c r="A1" s="1" t="s">
        <v>46</v>
      </c>
    </row>
    <row r="2" spans="1:62" x14ac:dyDescent="0.25">
      <c r="A2" t="s">
        <v>0</v>
      </c>
    </row>
    <row r="4" spans="1:62" x14ac:dyDescent="0.25">
      <c r="B4" t="s">
        <v>9</v>
      </c>
      <c r="C4" s="28">
        <v>45280</v>
      </c>
      <c r="D4" s="28"/>
      <c r="F4" t="s">
        <v>13</v>
      </c>
      <c r="G4" s="29">
        <f ca="1">NOW()</f>
        <v>45502.66646828704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62" x14ac:dyDescent="0.25">
      <c r="B5" t="s">
        <v>10</v>
      </c>
      <c r="C5" t="s">
        <v>12</v>
      </c>
    </row>
    <row r="6" spans="1:62" x14ac:dyDescent="0.25">
      <c r="B6" t="s">
        <v>11</v>
      </c>
      <c r="C6">
        <v>1</v>
      </c>
      <c r="G6" s="27" t="str">
        <f>"Week "&amp;(G8-($C$4-WEEKDAY($C$4,1)+2))/7+1</f>
        <v>Week 1</v>
      </c>
      <c r="H6" s="27"/>
      <c r="I6" s="27"/>
      <c r="J6" s="27"/>
      <c r="K6" s="27"/>
      <c r="L6" s="27"/>
      <c r="M6" s="27"/>
      <c r="N6" s="26" t="str">
        <f t="shared" ref="N6" si="0">"Week "&amp;(N8-($C$4-WEEKDAY($C$4,1)+2))/7+1</f>
        <v>Week 2</v>
      </c>
      <c r="O6" s="26"/>
      <c r="P6" s="26"/>
      <c r="Q6" s="26"/>
      <c r="R6" s="26"/>
      <c r="S6" s="26"/>
      <c r="T6" s="26"/>
      <c r="U6" s="25" t="str">
        <f t="shared" ref="U6" si="1">"Week "&amp;(U8-($C$4-WEEKDAY($C$4,1)+2))/7+1</f>
        <v>Week 3</v>
      </c>
      <c r="V6" s="25"/>
      <c r="W6" s="25"/>
      <c r="X6" s="25"/>
      <c r="Y6" s="25"/>
      <c r="Z6" s="25"/>
      <c r="AA6" s="25"/>
      <c r="AB6" s="24" t="str">
        <f t="shared" ref="AB6" si="2">"Week "&amp;(AB8-($C$4-WEEKDAY($C$4,1)+2))/7+1</f>
        <v>Week 4</v>
      </c>
      <c r="AC6" s="24"/>
      <c r="AD6" s="24"/>
      <c r="AE6" s="24"/>
      <c r="AF6" s="24"/>
      <c r="AG6" s="24"/>
      <c r="AH6" s="24"/>
      <c r="AI6" s="24" t="str">
        <f t="shared" ref="AI6" si="3">"Week "&amp;(AI8-($C$4-WEEKDAY($C$4,1)+2))/7+1</f>
        <v>Week 5</v>
      </c>
      <c r="AJ6" s="24"/>
      <c r="AK6" s="24"/>
      <c r="AL6" s="24"/>
      <c r="AM6" s="24"/>
      <c r="AN6" s="24"/>
      <c r="AO6" s="24"/>
      <c r="AP6" s="25" t="str">
        <f t="shared" ref="AP6" si="4">"Week "&amp;(AP8-($C$4-WEEKDAY($C$4,1)+2))/7+1</f>
        <v>Week 6</v>
      </c>
      <c r="AQ6" s="25"/>
      <c r="AR6" s="25"/>
      <c r="AS6" s="25"/>
      <c r="AT6" s="25"/>
      <c r="AU6" s="25"/>
      <c r="AV6" s="25"/>
      <c r="AW6" s="26" t="str">
        <f t="shared" ref="AW6" si="5">"Week "&amp;(AW8-($C$4-WEEKDAY($C$4,1)+2))/7+1</f>
        <v>Week 7</v>
      </c>
      <c r="AX6" s="26"/>
      <c r="AY6" s="26"/>
      <c r="AZ6" s="26"/>
      <c r="BA6" s="26"/>
      <c r="BB6" s="26"/>
      <c r="BC6" s="26"/>
      <c r="BD6" s="27" t="str">
        <f t="shared" ref="BD6" si="6">"Week "&amp;(BD8-($C$4-WEEKDAY($C$4,1)+2))/7+1</f>
        <v>Week 8</v>
      </c>
      <c r="BE6" s="27"/>
      <c r="BF6" s="27"/>
      <c r="BG6" s="27"/>
      <c r="BH6" s="27"/>
      <c r="BI6" s="27"/>
      <c r="BJ6" s="27"/>
    </row>
    <row r="7" spans="1:62" x14ac:dyDescent="0.25">
      <c r="G7" s="21">
        <f>G8</f>
        <v>45278</v>
      </c>
      <c r="H7" s="21"/>
      <c r="I7" s="21"/>
      <c r="J7" s="21"/>
      <c r="K7" s="21"/>
      <c r="L7" s="21"/>
      <c r="M7" s="21"/>
      <c r="N7" s="20">
        <f t="shared" ref="N7" si="7">N8</f>
        <v>45285</v>
      </c>
      <c r="O7" s="20"/>
      <c r="P7" s="20"/>
      <c r="Q7" s="20"/>
      <c r="R7" s="20"/>
      <c r="S7" s="20"/>
      <c r="T7" s="20"/>
      <c r="U7" s="22">
        <f t="shared" ref="U7" si="8">U8</f>
        <v>45292</v>
      </c>
      <c r="V7" s="22"/>
      <c r="W7" s="22"/>
      <c r="X7" s="22"/>
      <c r="Y7" s="22"/>
      <c r="Z7" s="22"/>
      <c r="AA7" s="22"/>
      <c r="AB7" s="23">
        <f t="shared" ref="AB7" si="9">AB8</f>
        <v>45299</v>
      </c>
      <c r="AC7" s="23"/>
      <c r="AD7" s="23"/>
      <c r="AE7" s="23"/>
      <c r="AF7" s="23"/>
      <c r="AG7" s="23"/>
      <c r="AH7" s="23"/>
      <c r="AI7" s="23">
        <f t="shared" ref="AI7" si="10">AI8</f>
        <v>45306</v>
      </c>
      <c r="AJ7" s="23"/>
      <c r="AK7" s="23"/>
      <c r="AL7" s="23"/>
      <c r="AM7" s="23"/>
      <c r="AN7" s="23"/>
      <c r="AO7" s="23"/>
      <c r="AP7" s="22">
        <f t="shared" ref="AP7" si="11">AP8</f>
        <v>45313</v>
      </c>
      <c r="AQ7" s="22"/>
      <c r="AR7" s="22"/>
      <c r="AS7" s="22"/>
      <c r="AT7" s="22"/>
      <c r="AU7" s="22"/>
      <c r="AV7" s="22"/>
      <c r="AW7" s="20">
        <f t="shared" ref="AW7" si="12">AW8</f>
        <v>45320</v>
      </c>
      <c r="AX7" s="20"/>
      <c r="AY7" s="20"/>
      <c r="AZ7" s="20"/>
      <c r="BA7" s="20"/>
      <c r="BB7" s="20"/>
      <c r="BC7" s="20"/>
      <c r="BD7" s="21">
        <f t="shared" ref="BD7" si="13">BD8</f>
        <v>45327</v>
      </c>
      <c r="BE7" s="21"/>
      <c r="BF7" s="21"/>
      <c r="BG7" s="21"/>
      <c r="BH7" s="21"/>
      <c r="BI7" s="21"/>
      <c r="BJ7" s="21"/>
    </row>
    <row r="8" spans="1:62" x14ac:dyDescent="0.25">
      <c r="G8" s="18">
        <f>C4-WEEKDAY(C4,1)+2+7*(C6-1)</f>
        <v>45278</v>
      </c>
      <c r="H8" s="8">
        <f>G8+1</f>
        <v>45279</v>
      </c>
      <c r="I8" s="8">
        <f t="shared" ref="I8:K8" si="14">H8+1</f>
        <v>45280</v>
      </c>
      <c r="J8" s="8">
        <f t="shared" si="14"/>
        <v>45281</v>
      </c>
      <c r="K8" s="8">
        <f t="shared" si="14"/>
        <v>45282</v>
      </c>
      <c r="L8" s="8">
        <f>K8+1</f>
        <v>45283</v>
      </c>
      <c r="M8" s="8">
        <f t="shared" ref="M8:Z8" si="15">L8+1</f>
        <v>45284</v>
      </c>
      <c r="N8" s="10">
        <f t="shared" si="15"/>
        <v>45285</v>
      </c>
      <c r="O8" s="10">
        <f t="shared" si="15"/>
        <v>45286</v>
      </c>
      <c r="P8" s="10">
        <f t="shared" si="15"/>
        <v>45287</v>
      </c>
      <c r="Q8" s="10">
        <f t="shared" si="15"/>
        <v>45288</v>
      </c>
      <c r="R8" s="10">
        <f t="shared" si="15"/>
        <v>45289</v>
      </c>
      <c r="S8" s="10">
        <f t="shared" si="15"/>
        <v>45290</v>
      </c>
      <c r="T8" s="10">
        <f t="shared" si="15"/>
        <v>45291</v>
      </c>
      <c r="U8" s="12">
        <f t="shared" si="15"/>
        <v>45292</v>
      </c>
      <c r="V8" s="12">
        <f t="shared" si="15"/>
        <v>45293</v>
      </c>
      <c r="W8" s="12">
        <f t="shared" si="15"/>
        <v>45294</v>
      </c>
      <c r="X8" s="12">
        <f t="shared" si="15"/>
        <v>45295</v>
      </c>
      <c r="Y8" s="12">
        <f t="shared" si="15"/>
        <v>45296</v>
      </c>
      <c r="Z8" s="12">
        <f t="shared" si="15"/>
        <v>45297</v>
      </c>
      <c r="AA8" s="12">
        <f t="shared" ref="AA8:BI8" si="16">Z8+1</f>
        <v>45298</v>
      </c>
      <c r="AB8" s="14">
        <f t="shared" si="16"/>
        <v>45299</v>
      </c>
      <c r="AC8" s="14">
        <f t="shared" si="16"/>
        <v>45300</v>
      </c>
      <c r="AD8" s="14">
        <f t="shared" si="16"/>
        <v>45301</v>
      </c>
      <c r="AE8" s="14">
        <f t="shared" si="16"/>
        <v>45302</v>
      </c>
      <c r="AF8" s="14">
        <f t="shared" si="16"/>
        <v>45303</v>
      </c>
      <c r="AG8" s="14">
        <f t="shared" si="16"/>
        <v>45304</v>
      </c>
      <c r="AH8" s="14">
        <f t="shared" si="16"/>
        <v>45305</v>
      </c>
      <c r="AI8" s="14">
        <f t="shared" si="16"/>
        <v>45306</v>
      </c>
      <c r="AJ8" s="14">
        <f t="shared" si="16"/>
        <v>45307</v>
      </c>
      <c r="AK8" s="14">
        <f t="shared" si="16"/>
        <v>45308</v>
      </c>
      <c r="AL8" s="14">
        <f t="shared" si="16"/>
        <v>45309</v>
      </c>
      <c r="AM8" s="14">
        <f t="shared" si="16"/>
        <v>45310</v>
      </c>
      <c r="AN8" s="14">
        <f t="shared" si="16"/>
        <v>45311</v>
      </c>
      <c r="AO8" s="14">
        <f t="shared" si="16"/>
        <v>45312</v>
      </c>
      <c r="AP8" s="12">
        <f t="shared" si="16"/>
        <v>45313</v>
      </c>
      <c r="AQ8" s="12">
        <f t="shared" si="16"/>
        <v>45314</v>
      </c>
      <c r="AR8" s="12">
        <f t="shared" si="16"/>
        <v>45315</v>
      </c>
      <c r="AS8" s="12">
        <f t="shared" si="16"/>
        <v>45316</v>
      </c>
      <c r="AT8" s="12">
        <f t="shared" si="16"/>
        <v>45317</v>
      </c>
      <c r="AU8" s="12">
        <f t="shared" si="16"/>
        <v>45318</v>
      </c>
      <c r="AV8" s="12">
        <f t="shared" si="16"/>
        <v>45319</v>
      </c>
      <c r="AW8" s="10">
        <f t="shared" si="16"/>
        <v>45320</v>
      </c>
      <c r="AX8" s="10">
        <f t="shared" si="16"/>
        <v>45321</v>
      </c>
      <c r="AY8" s="10">
        <f t="shared" si="16"/>
        <v>45322</v>
      </c>
      <c r="AZ8" s="10">
        <f t="shared" si="16"/>
        <v>45323</v>
      </c>
      <c r="BA8" s="10">
        <f t="shared" si="16"/>
        <v>45324</v>
      </c>
      <c r="BB8" s="10">
        <f t="shared" si="16"/>
        <v>45325</v>
      </c>
      <c r="BC8" s="10">
        <f t="shared" si="16"/>
        <v>45326</v>
      </c>
      <c r="BD8" s="8">
        <f t="shared" si="16"/>
        <v>45327</v>
      </c>
      <c r="BE8" s="8">
        <f t="shared" si="16"/>
        <v>45328</v>
      </c>
      <c r="BF8" s="8">
        <f t="shared" si="16"/>
        <v>45329</v>
      </c>
      <c r="BG8" s="8">
        <f t="shared" si="16"/>
        <v>45330</v>
      </c>
      <c r="BH8" s="8">
        <f t="shared" si="16"/>
        <v>45331</v>
      </c>
      <c r="BI8" s="8">
        <f t="shared" si="16"/>
        <v>45332</v>
      </c>
      <c r="BJ8" s="8">
        <f t="shared" ref="BJ8" si="17">BI8+1</f>
        <v>45333</v>
      </c>
    </row>
    <row r="9" spans="1:62" x14ac:dyDescent="0.25">
      <c r="A9" t="s">
        <v>1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s="9" t="str">
        <f>CHOOSE(WEEKDAY(G8,1),"S","M","T","W","T","F","S")</f>
        <v>M</v>
      </c>
      <c r="H9" s="9" t="str">
        <f>CHOOSE(WEEKDAY(H8,1),"S","M","T","W","T","F","S")</f>
        <v>T</v>
      </c>
      <c r="I9" s="9" t="str">
        <f t="shared" ref="I9:K9" si="18">CHOOSE(WEEKDAY(I8,1),"S","M","T","W","T","F","S")</f>
        <v>W</v>
      </c>
      <c r="J9" s="9" t="str">
        <f t="shared" si="18"/>
        <v>T</v>
      </c>
      <c r="K9" s="9" t="str">
        <f t="shared" si="18"/>
        <v>F</v>
      </c>
      <c r="L9" s="9" t="str">
        <f>CHOOSE(WEEKDAY(L8,1),"S","M","T","W","T","F","S")</f>
        <v>S</v>
      </c>
      <c r="M9" s="9" t="str">
        <f t="shared" ref="M9" si="19">CHOOSE(WEEKDAY(M8,1),"S","M","T","W","T","F","S")</f>
        <v>S</v>
      </c>
      <c r="N9" s="11" t="str">
        <f t="shared" ref="N9" si="20">CHOOSE(WEEKDAY(N8,1),"S","M","T","W","T","F","S")</f>
        <v>M</v>
      </c>
      <c r="O9" s="11" t="str">
        <f t="shared" ref="O9" si="21">CHOOSE(WEEKDAY(O8,1),"S","M","T","W","T","F","S")</f>
        <v>T</v>
      </c>
      <c r="P9" s="11" t="str">
        <f t="shared" ref="P9" si="22">CHOOSE(WEEKDAY(P8,1),"S","M","T","W","T","F","S")</f>
        <v>W</v>
      </c>
      <c r="Q9" s="11" t="str">
        <f t="shared" ref="Q9" si="23">CHOOSE(WEEKDAY(Q8,1),"S","M","T","W","T","F","S")</f>
        <v>T</v>
      </c>
      <c r="R9" s="11" t="str">
        <f t="shared" ref="R9" si="24">CHOOSE(WEEKDAY(R8,1),"S","M","T","W","T","F","S")</f>
        <v>F</v>
      </c>
      <c r="S9" s="11" t="str">
        <f t="shared" ref="S9" si="25">CHOOSE(WEEKDAY(S8,1),"S","M","T","W","T","F","S")</f>
        <v>S</v>
      </c>
      <c r="T9" s="11" t="str">
        <f t="shared" ref="T9" si="26">CHOOSE(WEEKDAY(T8,1),"S","M","T","W","T","F","S")</f>
        <v>S</v>
      </c>
      <c r="U9" s="13" t="str">
        <f t="shared" ref="U9" si="27">CHOOSE(WEEKDAY(U8,1),"S","M","T","W","T","F","S")</f>
        <v>M</v>
      </c>
      <c r="V9" s="13" t="str">
        <f t="shared" ref="V9" si="28">CHOOSE(WEEKDAY(V8,1),"S","M","T","W","T","F","S")</f>
        <v>T</v>
      </c>
      <c r="W9" s="13" t="str">
        <f t="shared" ref="W9" si="29">CHOOSE(WEEKDAY(W8,1),"S","M","T","W","T","F","S")</f>
        <v>W</v>
      </c>
      <c r="X9" s="13" t="str">
        <f t="shared" ref="X9" si="30">CHOOSE(WEEKDAY(X8,1),"S","M","T","W","T","F","S")</f>
        <v>T</v>
      </c>
      <c r="Y9" s="13" t="str">
        <f t="shared" ref="Y9" si="31">CHOOSE(WEEKDAY(Y8,1),"S","M","T","W","T","F","S")</f>
        <v>F</v>
      </c>
      <c r="Z9" s="13" t="str">
        <f t="shared" ref="Z9" si="32">CHOOSE(WEEKDAY(Z8,1),"S","M","T","W","T","F","S")</f>
        <v>S</v>
      </c>
      <c r="AA9" s="13" t="str">
        <f t="shared" ref="AA9" si="33">CHOOSE(WEEKDAY(AA8,1),"S","M","T","W","T","F","S")</f>
        <v>S</v>
      </c>
      <c r="AB9" s="15" t="str">
        <f t="shared" ref="AB9" si="34">CHOOSE(WEEKDAY(AB8,1),"S","M","T","W","T","F","S")</f>
        <v>M</v>
      </c>
      <c r="AC9" s="15" t="str">
        <f t="shared" ref="AC9" si="35">CHOOSE(WEEKDAY(AC8,1),"S","M","T","W","T","F","S")</f>
        <v>T</v>
      </c>
      <c r="AD9" s="15" t="str">
        <f t="shared" ref="AD9" si="36">CHOOSE(WEEKDAY(AD8,1),"S","M","T","W","T","F","S")</f>
        <v>W</v>
      </c>
      <c r="AE9" s="15" t="str">
        <f t="shared" ref="AE9" si="37">CHOOSE(WEEKDAY(AE8,1),"S","M","T","W","T","F","S")</f>
        <v>T</v>
      </c>
      <c r="AF9" s="15" t="str">
        <f t="shared" ref="AF9" si="38">CHOOSE(WEEKDAY(AF8,1),"S","M","T","W","T","F","S")</f>
        <v>F</v>
      </c>
      <c r="AG9" s="15" t="str">
        <f t="shared" ref="AG9" si="39">CHOOSE(WEEKDAY(AG8,1),"S","M","T","W","T","F","S")</f>
        <v>S</v>
      </c>
      <c r="AH9" s="15" t="str">
        <f t="shared" ref="AH9" si="40">CHOOSE(WEEKDAY(AH8,1),"S","M","T","W","T","F","S")</f>
        <v>S</v>
      </c>
      <c r="AI9" s="15" t="str">
        <f t="shared" ref="AI9" si="41">CHOOSE(WEEKDAY(AI8,1),"S","M","T","W","T","F","S")</f>
        <v>M</v>
      </c>
      <c r="AJ9" s="15" t="str">
        <f t="shared" ref="AJ9" si="42">CHOOSE(WEEKDAY(AJ8,1),"S","M","T","W","T","F","S")</f>
        <v>T</v>
      </c>
      <c r="AK9" s="15" t="str">
        <f t="shared" ref="AK9" si="43">CHOOSE(WEEKDAY(AK8,1),"S","M","T","W","T","F","S")</f>
        <v>W</v>
      </c>
      <c r="AL9" s="15" t="str">
        <f t="shared" ref="AL9" si="44">CHOOSE(WEEKDAY(AL8,1),"S","M","T","W","T","F","S")</f>
        <v>T</v>
      </c>
      <c r="AM9" s="15" t="str">
        <f t="shared" ref="AM9" si="45">CHOOSE(WEEKDAY(AM8,1),"S","M","T","W","T","F","S")</f>
        <v>F</v>
      </c>
      <c r="AN9" s="15" t="str">
        <f t="shared" ref="AN9" si="46">CHOOSE(WEEKDAY(AN8,1),"S","M","T","W","T","F","S")</f>
        <v>S</v>
      </c>
      <c r="AO9" s="15" t="str">
        <f t="shared" ref="AO9" si="47">CHOOSE(WEEKDAY(AO8,1),"S","M","T","W","T","F","S")</f>
        <v>S</v>
      </c>
      <c r="AP9" s="13" t="str">
        <f t="shared" ref="AP9" si="48">CHOOSE(WEEKDAY(AP8,1),"S","M","T","W","T","F","S")</f>
        <v>M</v>
      </c>
      <c r="AQ9" s="13" t="str">
        <f t="shared" ref="AQ9" si="49">CHOOSE(WEEKDAY(AQ8,1),"S","M","T","W","T","F","S")</f>
        <v>T</v>
      </c>
      <c r="AR9" s="13" t="str">
        <f t="shared" ref="AR9" si="50">CHOOSE(WEEKDAY(AR8,1),"S","M","T","W","T","F","S")</f>
        <v>W</v>
      </c>
      <c r="AS9" s="13" t="str">
        <f t="shared" ref="AS9" si="51">CHOOSE(WEEKDAY(AS8,1),"S","M","T","W","T","F","S")</f>
        <v>T</v>
      </c>
      <c r="AT9" s="13" t="str">
        <f t="shared" ref="AT9" si="52">CHOOSE(WEEKDAY(AT8,1),"S","M","T","W","T","F","S")</f>
        <v>F</v>
      </c>
      <c r="AU9" s="13" t="str">
        <f t="shared" ref="AU9" si="53">CHOOSE(WEEKDAY(AU8,1),"S","M","T","W","T","F","S")</f>
        <v>S</v>
      </c>
      <c r="AV9" s="13" t="str">
        <f t="shared" ref="AV9" si="54">CHOOSE(WEEKDAY(AV8,1),"S","M","T","W","T","F","S")</f>
        <v>S</v>
      </c>
      <c r="AW9" s="11" t="str">
        <f t="shared" ref="AW9" si="55">CHOOSE(WEEKDAY(AW8,1),"S","M","T","W","T","F","S")</f>
        <v>M</v>
      </c>
      <c r="AX9" s="11" t="str">
        <f t="shared" ref="AX9" si="56">CHOOSE(WEEKDAY(AX8,1),"S","M","T","W","T","F","S")</f>
        <v>T</v>
      </c>
      <c r="AY9" s="11" t="str">
        <f t="shared" ref="AY9" si="57">CHOOSE(WEEKDAY(AY8,1),"S","M","T","W","T","F","S")</f>
        <v>W</v>
      </c>
      <c r="AZ9" s="11" t="str">
        <f t="shared" ref="AZ9" si="58">CHOOSE(WEEKDAY(AZ8,1),"S","M","T","W","T","F","S")</f>
        <v>T</v>
      </c>
      <c r="BA9" s="11" t="str">
        <f t="shared" ref="BA9" si="59">CHOOSE(WEEKDAY(BA8,1),"S","M","T","W","T","F","S")</f>
        <v>F</v>
      </c>
      <c r="BB9" s="11" t="str">
        <f t="shared" ref="BB9" si="60">CHOOSE(WEEKDAY(BB8,1),"S","M","T","W","T","F","S")</f>
        <v>S</v>
      </c>
      <c r="BC9" s="11" t="str">
        <f t="shared" ref="BC9" si="61">CHOOSE(WEEKDAY(BC8,1),"S","M","T","W","T","F","S")</f>
        <v>S</v>
      </c>
      <c r="BD9" s="9" t="str">
        <f t="shared" ref="BD9" si="62">CHOOSE(WEEKDAY(BD8,1),"S","M","T","W","T","F","S")</f>
        <v>M</v>
      </c>
      <c r="BE9" s="9" t="str">
        <f t="shared" ref="BE9" si="63">CHOOSE(WEEKDAY(BE8,1),"S","M","T","W","T","F","S")</f>
        <v>T</v>
      </c>
      <c r="BF9" s="9" t="str">
        <f t="shared" ref="BF9" si="64">CHOOSE(WEEKDAY(BF8,1),"S","M","T","W","T","F","S")</f>
        <v>W</v>
      </c>
      <c r="BG9" s="9" t="str">
        <f t="shared" ref="BG9" si="65">CHOOSE(WEEKDAY(BG8,1),"S","M","T","W","T","F","S")</f>
        <v>T</v>
      </c>
      <c r="BH9" s="9" t="str">
        <f t="shared" ref="BH9" si="66">CHOOSE(WEEKDAY(BH8,1),"S","M","T","W","T","F","S")</f>
        <v>F</v>
      </c>
      <c r="BI9" s="9" t="str">
        <f t="shared" ref="BI9:BO9" si="67">CHOOSE(WEEKDAY(BI8,1),"S","M","T","W","T","F","S")</f>
        <v>S</v>
      </c>
      <c r="BJ9" s="9" t="str">
        <f t="shared" si="67"/>
        <v>S</v>
      </c>
    </row>
    <row r="10" spans="1:62" x14ac:dyDescent="0.25">
      <c r="A10" s="2" t="str">
        <f>IF(ISERROR(VALUE(SUBSTITUTE(prevWBS,".",""))),"1",IF(ISERROR(FIND("`",SUBSTITUTE(prevWBS,".","`",1))),TEXT(VALUE(prevWBS)+1,"#"),TEXT(VALUE(LEFT(prevWBS,FIND("`",SUBSTITUTE(prevWBS,".","`",1))-1))+1,"#")))</f>
        <v>1</v>
      </c>
      <c r="B10" s="3" t="s">
        <v>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62" x14ac:dyDescent="0.25">
      <c r="A11" s="4" t="str">
        <f t="shared" ref="A11:A82" si="68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1.1</v>
      </c>
      <c r="B11" s="5" t="s">
        <v>14</v>
      </c>
      <c r="C11" s="19">
        <v>48</v>
      </c>
      <c r="D11" s="16">
        <v>45280</v>
      </c>
      <c r="E11" s="17">
        <f>IF(ISBLANK(D11)," - ",IF(C11=0,D11,D11+C11-1))</f>
        <v>45327</v>
      </c>
      <c r="F11" s="7">
        <v>1</v>
      </c>
    </row>
    <row r="12" spans="1:62" x14ac:dyDescent="0.25">
      <c r="A12" s="4" t="str">
        <f t="shared" si="68"/>
        <v>1.2</v>
      </c>
      <c r="B12" s="5" t="s">
        <v>3</v>
      </c>
      <c r="C12" s="19">
        <v>4</v>
      </c>
      <c r="D12" s="16">
        <v>45328</v>
      </c>
      <c r="E12" s="17">
        <f t="shared" ref="E12:E82" si="69">IF(ISBLANK(D12)," - ",IF(C12=0,D12,D12+C12-1))</f>
        <v>45331</v>
      </c>
      <c r="F12" s="7">
        <v>1</v>
      </c>
    </row>
    <row r="13" spans="1:62" x14ac:dyDescent="0.25">
      <c r="A13" s="4" t="str">
        <f t="shared" si="68"/>
        <v>1.3</v>
      </c>
      <c r="B13" s="5" t="s">
        <v>15</v>
      </c>
      <c r="C13" s="19">
        <v>13</v>
      </c>
      <c r="D13" s="16">
        <v>45334</v>
      </c>
      <c r="E13" s="17">
        <f t="shared" si="69"/>
        <v>45346</v>
      </c>
      <c r="F13" s="7">
        <v>1</v>
      </c>
    </row>
    <row r="14" spans="1:62" x14ac:dyDescent="0.25">
      <c r="A14" s="4" t="str">
        <f t="shared" si="68"/>
        <v>1.4</v>
      </c>
      <c r="B14" s="5" t="s">
        <v>22</v>
      </c>
      <c r="C14" s="19">
        <v>4</v>
      </c>
      <c r="D14" s="16">
        <v>45347</v>
      </c>
      <c r="E14" s="17">
        <f t="shared" si="69"/>
        <v>45350</v>
      </c>
      <c r="F14" s="7">
        <v>1</v>
      </c>
    </row>
    <row r="15" spans="1:62" x14ac:dyDescent="0.25">
      <c r="A15" s="4" t="str">
        <f t="shared" ref="A15:A20" si="70"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1.4.1</v>
      </c>
      <c r="B15" s="6" t="s">
        <v>16</v>
      </c>
      <c r="C15" s="19">
        <v>7</v>
      </c>
      <c r="D15" s="16">
        <v>45347</v>
      </c>
      <c r="E15" s="17">
        <f t="shared" ref="E15" si="71">IF(ISBLANK(D15)," - ",IF(C15=0,D15,D15+C15-1))</f>
        <v>45353</v>
      </c>
      <c r="F15" s="7">
        <v>1</v>
      </c>
    </row>
    <row r="16" spans="1:62" x14ac:dyDescent="0.25">
      <c r="A16" s="4" t="str">
        <f t="shared" si="70"/>
        <v>1.4.2</v>
      </c>
      <c r="B16" s="6" t="s">
        <v>17</v>
      </c>
      <c r="C16" s="19">
        <v>30</v>
      </c>
      <c r="D16" s="16">
        <v>45355</v>
      </c>
      <c r="E16" s="17">
        <f t="shared" si="69"/>
        <v>45384</v>
      </c>
      <c r="F16" s="7">
        <v>1</v>
      </c>
    </row>
    <row r="17" spans="1:6" x14ac:dyDescent="0.25">
      <c r="A17" s="4" t="str">
        <f t="shared" si="70"/>
        <v>1.4.3</v>
      </c>
      <c r="B17" s="6" t="s">
        <v>18</v>
      </c>
      <c r="C17" s="19">
        <v>19</v>
      </c>
      <c r="D17" s="16">
        <v>45385</v>
      </c>
      <c r="E17" s="17">
        <f t="shared" si="69"/>
        <v>45403</v>
      </c>
      <c r="F17" s="7">
        <v>0</v>
      </c>
    </row>
    <row r="18" spans="1:6" x14ac:dyDescent="0.25">
      <c r="A18" s="4" t="str">
        <f t="shared" si="70"/>
        <v>1.4.4</v>
      </c>
      <c r="B18" s="6" t="s">
        <v>19</v>
      </c>
      <c r="C18" s="19">
        <v>7</v>
      </c>
      <c r="D18" s="16">
        <v>45404</v>
      </c>
      <c r="E18" s="17">
        <f t="shared" si="69"/>
        <v>45410</v>
      </c>
      <c r="F18" s="7">
        <v>0</v>
      </c>
    </row>
    <row r="19" spans="1:6" x14ac:dyDescent="0.25">
      <c r="A19" s="4" t="str">
        <f t="shared" si="70"/>
        <v>1.4.5</v>
      </c>
      <c r="B19" s="6" t="s">
        <v>20</v>
      </c>
      <c r="C19" s="19">
        <v>30</v>
      </c>
      <c r="D19" s="16">
        <v>45411</v>
      </c>
      <c r="E19" s="17">
        <f t="shared" ref="E19:E20" si="72">IF(ISBLANK(D19)," - ",IF(C19=0,D19,D19+C19-1))</f>
        <v>45440</v>
      </c>
      <c r="F19" s="7">
        <v>0</v>
      </c>
    </row>
    <row r="20" spans="1:6" x14ac:dyDescent="0.25">
      <c r="A20" s="4" t="str">
        <f t="shared" si="70"/>
        <v>1.4.6</v>
      </c>
      <c r="B20" s="6" t="s">
        <v>21</v>
      </c>
      <c r="C20" s="19">
        <v>19</v>
      </c>
      <c r="D20" s="16">
        <v>45440</v>
      </c>
      <c r="E20" s="17">
        <f t="shared" si="72"/>
        <v>45458</v>
      </c>
      <c r="F20" s="7">
        <v>0</v>
      </c>
    </row>
    <row r="21" spans="1:6" x14ac:dyDescent="0.25">
      <c r="A21" s="4" t="str">
        <f t="shared" si="68"/>
        <v>1.5</v>
      </c>
      <c r="B21" s="5" t="s">
        <v>32</v>
      </c>
      <c r="C21" s="19">
        <v>4</v>
      </c>
      <c r="D21" s="16">
        <v>45460</v>
      </c>
      <c r="E21" s="17">
        <f t="shared" si="69"/>
        <v>45463</v>
      </c>
      <c r="F21" s="7">
        <v>0</v>
      </c>
    </row>
    <row r="22" spans="1:6" x14ac:dyDescent="0.25">
      <c r="A22" s="4" t="str">
        <f t="shared" ref="A22:A27" si="73"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1.5.1</v>
      </c>
      <c r="B22" s="6" t="s">
        <v>25</v>
      </c>
      <c r="C22" s="19">
        <v>7</v>
      </c>
      <c r="D22" s="16">
        <v>45460</v>
      </c>
      <c r="E22" s="17">
        <f t="shared" si="69"/>
        <v>45466</v>
      </c>
      <c r="F22" s="7">
        <v>0</v>
      </c>
    </row>
    <row r="23" spans="1:6" x14ac:dyDescent="0.25">
      <c r="A23" s="4" t="str">
        <f t="shared" si="73"/>
        <v>1.5.2</v>
      </c>
      <c r="B23" s="6" t="s">
        <v>26</v>
      </c>
      <c r="C23" s="19">
        <v>30</v>
      </c>
      <c r="D23" s="16">
        <v>45467</v>
      </c>
      <c r="E23" s="17">
        <f t="shared" ref="E23:E29" si="74">IF(ISBLANK(D23)," - ",IF(C23=0,D23,D23+C23-1))</f>
        <v>45496</v>
      </c>
      <c r="F23" s="7">
        <v>0</v>
      </c>
    </row>
    <row r="24" spans="1:6" x14ac:dyDescent="0.25">
      <c r="A24" s="4" t="str">
        <f t="shared" si="73"/>
        <v>1.5.3</v>
      </c>
      <c r="B24" s="6" t="s">
        <v>27</v>
      </c>
      <c r="C24" s="19">
        <v>19</v>
      </c>
      <c r="D24" s="16">
        <v>45497</v>
      </c>
      <c r="E24" s="17">
        <f t="shared" si="74"/>
        <v>45515</v>
      </c>
      <c r="F24" s="7">
        <v>0</v>
      </c>
    </row>
    <row r="25" spans="1:6" x14ac:dyDescent="0.25">
      <c r="A25" s="4" t="str">
        <f t="shared" si="73"/>
        <v>1.5.4</v>
      </c>
      <c r="B25" s="6" t="s">
        <v>28</v>
      </c>
      <c r="C25" s="19">
        <v>7</v>
      </c>
      <c r="D25" s="16">
        <v>45516</v>
      </c>
      <c r="E25" s="17">
        <f t="shared" si="74"/>
        <v>45522</v>
      </c>
      <c r="F25" s="7">
        <v>0</v>
      </c>
    </row>
    <row r="26" spans="1:6" x14ac:dyDescent="0.25">
      <c r="A26" s="4" t="str">
        <f t="shared" si="73"/>
        <v>1.5.5</v>
      </c>
      <c r="B26" s="6" t="s">
        <v>29</v>
      </c>
      <c r="C26" s="19">
        <v>30</v>
      </c>
      <c r="D26" s="16">
        <v>45523</v>
      </c>
      <c r="E26" s="17">
        <f t="shared" si="74"/>
        <v>45552</v>
      </c>
      <c r="F26" s="7">
        <v>0</v>
      </c>
    </row>
    <row r="27" spans="1:6" x14ac:dyDescent="0.25">
      <c r="A27" s="4" t="str">
        <f t="shared" si="73"/>
        <v>1.5.6</v>
      </c>
      <c r="B27" s="6" t="s">
        <v>30</v>
      </c>
      <c r="C27" s="19">
        <v>19</v>
      </c>
      <c r="D27" s="16">
        <v>45553</v>
      </c>
      <c r="E27" s="17">
        <f t="shared" si="74"/>
        <v>45571</v>
      </c>
      <c r="F27" s="7">
        <v>0</v>
      </c>
    </row>
    <row r="28" spans="1:6" x14ac:dyDescent="0.25">
      <c r="A28" s="4" t="str">
        <f t="shared" si="68"/>
        <v>1.6</v>
      </c>
      <c r="B28" s="5" t="s">
        <v>33</v>
      </c>
      <c r="C28" s="19">
        <v>4</v>
      </c>
      <c r="D28" s="16">
        <v>45572</v>
      </c>
      <c r="E28" s="17">
        <f t="shared" si="74"/>
        <v>45575</v>
      </c>
      <c r="F28" s="7">
        <v>0</v>
      </c>
    </row>
    <row r="29" spans="1:6" x14ac:dyDescent="0.25">
      <c r="A29" s="4" t="str">
        <f t="shared" ref="A29:A34" si="75"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1.6.1</v>
      </c>
      <c r="B29" s="6" t="s">
        <v>25</v>
      </c>
      <c r="C29" s="19">
        <v>7</v>
      </c>
      <c r="D29" s="16">
        <v>45572</v>
      </c>
      <c r="E29" s="17">
        <f t="shared" si="74"/>
        <v>45578</v>
      </c>
      <c r="F29" s="7">
        <v>0</v>
      </c>
    </row>
    <row r="30" spans="1:6" x14ac:dyDescent="0.25">
      <c r="A30" s="4" t="str">
        <f t="shared" si="75"/>
        <v>1.6.2</v>
      </c>
      <c r="B30" s="6" t="s">
        <v>26</v>
      </c>
      <c r="C30" s="19">
        <v>30</v>
      </c>
      <c r="D30" s="16">
        <v>45579</v>
      </c>
      <c r="E30" s="17">
        <f t="shared" ref="E30:E36" si="76">IF(ISBLANK(D30)," - ",IF(C30=0,D30,D30+C30-1))</f>
        <v>45608</v>
      </c>
      <c r="F30" s="7">
        <v>0</v>
      </c>
    </row>
    <row r="31" spans="1:6" x14ac:dyDescent="0.25">
      <c r="A31" s="4" t="str">
        <f t="shared" si="75"/>
        <v>1.6.3</v>
      </c>
      <c r="B31" s="6" t="s">
        <v>27</v>
      </c>
      <c r="C31" s="19">
        <v>19</v>
      </c>
      <c r="D31" s="16">
        <v>45609</v>
      </c>
      <c r="E31" s="17">
        <f t="shared" si="76"/>
        <v>45627</v>
      </c>
      <c r="F31" s="7">
        <v>0</v>
      </c>
    </row>
    <row r="32" spans="1:6" x14ac:dyDescent="0.25">
      <c r="A32" s="4" t="str">
        <f t="shared" si="75"/>
        <v>1.6.4</v>
      </c>
      <c r="B32" s="6" t="s">
        <v>28</v>
      </c>
      <c r="C32" s="19">
        <v>7</v>
      </c>
      <c r="D32" s="16">
        <v>45628</v>
      </c>
      <c r="E32" s="17">
        <f t="shared" si="76"/>
        <v>45634</v>
      </c>
      <c r="F32" s="7">
        <v>0</v>
      </c>
    </row>
    <row r="33" spans="1:6" x14ac:dyDescent="0.25">
      <c r="A33" s="4" t="str">
        <f t="shared" si="75"/>
        <v>1.6.5</v>
      </c>
      <c r="B33" s="6" t="s">
        <v>29</v>
      </c>
      <c r="C33" s="19">
        <v>30</v>
      </c>
      <c r="D33" s="16">
        <v>45635</v>
      </c>
      <c r="E33" s="17">
        <f t="shared" si="76"/>
        <v>45664</v>
      </c>
      <c r="F33" s="7">
        <v>0</v>
      </c>
    </row>
    <row r="34" spans="1:6" x14ac:dyDescent="0.25">
      <c r="A34" s="4" t="str">
        <f t="shared" si="75"/>
        <v>1.6.6</v>
      </c>
      <c r="B34" s="6" t="s">
        <v>30</v>
      </c>
      <c r="C34" s="19">
        <v>19</v>
      </c>
      <c r="D34" s="16">
        <v>45665</v>
      </c>
      <c r="E34" s="17">
        <f t="shared" si="76"/>
        <v>45683</v>
      </c>
      <c r="F34" s="7">
        <v>0</v>
      </c>
    </row>
    <row r="35" spans="1:6" x14ac:dyDescent="0.25">
      <c r="A35" s="4" t="str">
        <f t="shared" si="68"/>
        <v>1.7</v>
      </c>
      <c r="B35" s="5" t="s">
        <v>34</v>
      </c>
      <c r="C35" s="19">
        <v>4</v>
      </c>
      <c r="D35" s="16">
        <v>45684</v>
      </c>
      <c r="E35" s="17">
        <f t="shared" si="76"/>
        <v>45687</v>
      </c>
      <c r="F35" s="7">
        <v>0</v>
      </c>
    </row>
    <row r="36" spans="1:6" x14ac:dyDescent="0.25">
      <c r="A36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1.7.1</v>
      </c>
      <c r="B36" s="6" t="s">
        <v>23</v>
      </c>
      <c r="C36" s="19">
        <v>7</v>
      </c>
      <c r="D36" s="16">
        <v>45684</v>
      </c>
      <c r="E36" s="17">
        <f t="shared" si="76"/>
        <v>45690</v>
      </c>
      <c r="F36" s="7">
        <v>0</v>
      </c>
    </row>
    <row r="37" spans="1:6" x14ac:dyDescent="0.25">
      <c r="A37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1.7.2</v>
      </c>
      <c r="B37" s="6" t="s">
        <v>24</v>
      </c>
      <c r="C37" s="19">
        <v>30</v>
      </c>
      <c r="D37" s="16">
        <v>45691</v>
      </c>
      <c r="E37" s="17">
        <f t="shared" ref="E37:E40" si="77">IF(ISBLANK(D37)," - ",IF(C37=0,D37,D37+C37-1))</f>
        <v>45720</v>
      </c>
      <c r="F37" s="7">
        <v>0</v>
      </c>
    </row>
    <row r="38" spans="1:6" x14ac:dyDescent="0.25">
      <c r="A38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1.7.3</v>
      </c>
      <c r="B38" s="6" t="s">
        <v>31</v>
      </c>
      <c r="C38" s="19">
        <v>19</v>
      </c>
      <c r="D38" s="16">
        <v>45721</v>
      </c>
      <c r="E38" s="17">
        <f t="shared" si="77"/>
        <v>45739</v>
      </c>
      <c r="F38" s="7">
        <v>0</v>
      </c>
    </row>
    <row r="39" spans="1:6" x14ac:dyDescent="0.25">
      <c r="A39" s="4" t="str">
        <f t="shared" si="68"/>
        <v>1.8</v>
      </c>
      <c r="B39" s="5" t="s">
        <v>35</v>
      </c>
      <c r="C39" s="19">
        <v>4</v>
      </c>
      <c r="D39" s="16">
        <v>45740</v>
      </c>
      <c r="E39" s="17">
        <f t="shared" si="77"/>
        <v>45743</v>
      </c>
      <c r="F39" s="7">
        <v>0</v>
      </c>
    </row>
    <row r="40" spans="1:6" x14ac:dyDescent="0.25">
      <c r="A40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1.8.1</v>
      </c>
      <c r="B40" s="6" t="s">
        <v>23</v>
      </c>
      <c r="C40" s="19">
        <v>7</v>
      </c>
      <c r="D40" s="16">
        <v>45740</v>
      </c>
      <c r="E40" s="17">
        <f t="shared" si="77"/>
        <v>45746</v>
      </c>
      <c r="F40" s="7">
        <v>0</v>
      </c>
    </row>
    <row r="41" spans="1:6" x14ac:dyDescent="0.25">
      <c r="A41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1.8.2</v>
      </c>
      <c r="B41" s="6" t="s">
        <v>24</v>
      </c>
      <c r="C41" s="19">
        <v>30</v>
      </c>
      <c r="D41" s="16">
        <v>45747</v>
      </c>
      <c r="E41" s="17">
        <f t="shared" ref="E41:E44" si="78">IF(ISBLANK(D41)," - ",IF(C41=0,D41,D41+C41-1))</f>
        <v>45776</v>
      </c>
      <c r="F41" s="7">
        <v>0</v>
      </c>
    </row>
    <row r="42" spans="1:6" x14ac:dyDescent="0.25">
      <c r="A42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1.8.3</v>
      </c>
      <c r="B42" s="6" t="s">
        <v>31</v>
      </c>
      <c r="C42" s="19">
        <v>19</v>
      </c>
      <c r="D42" s="16">
        <v>45777</v>
      </c>
      <c r="E42" s="17">
        <f t="shared" si="78"/>
        <v>45795</v>
      </c>
      <c r="F42" s="7">
        <v>0</v>
      </c>
    </row>
    <row r="43" spans="1:6" x14ac:dyDescent="0.25">
      <c r="A43" s="4" t="str">
        <f t="shared" si="68"/>
        <v>1.9</v>
      </c>
      <c r="B43" s="5" t="s">
        <v>36</v>
      </c>
      <c r="C43" s="19">
        <v>4</v>
      </c>
      <c r="D43" s="16">
        <v>45796</v>
      </c>
      <c r="E43" s="17">
        <f t="shared" si="78"/>
        <v>45799</v>
      </c>
      <c r="F43" s="7">
        <v>0</v>
      </c>
    </row>
    <row r="44" spans="1:6" x14ac:dyDescent="0.25">
      <c r="A44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1.9.1</v>
      </c>
      <c r="B44" s="6" t="s">
        <v>23</v>
      </c>
      <c r="C44" s="19">
        <v>7</v>
      </c>
      <c r="D44" s="16">
        <v>45796</v>
      </c>
      <c r="E44" s="17">
        <f t="shared" si="78"/>
        <v>45802</v>
      </c>
      <c r="F44" s="7">
        <v>0</v>
      </c>
    </row>
    <row r="45" spans="1:6" x14ac:dyDescent="0.25">
      <c r="A45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1.9.2</v>
      </c>
      <c r="B45" s="6" t="s">
        <v>24</v>
      </c>
      <c r="C45" s="19">
        <v>30</v>
      </c>
      <c r="D45" s="16">
        <v>45803</v>
      </c>
      <c r="E45" s="17">
        <f t="shared" ref="E45:E48" si="79">IF(ISBLANK(D45)," - ",IF(C45=0,D45,D45+C45-1))</f>
        <v>45832</v>
      </c>
      <c r="F45" s="7">
        <v>0</v>
      </c>
    </row>
    <row r="46" spans="1:6" x14ac:dyDescent="0.25">
      <c r="A46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1.9.3</v>
      </c>
      <c r="B46" s="6" t="s">
        <v>31</v>
      </c>
      <c r="C46" s="19">
        <v>19</v>
      </c>
      <c r="D46" s="16">
        <v>45833</v>
      </c>
      <c r="E46" s="17">
        <f t="shared" si="79"/>
        <v>45851</v>
      </c>
      <c r="F46" s="7">
        <v>0</v>
      </c>
    </row>
    <row r="47" spans="1:6" x14ac:dyDescent="0.25">
      <c r="A47" s="4" t="str">
        <f t="shared" si="68"/>
        <v>1.10</v>
      </c>
      <c r="B47" s="5" t="s">
        <v>37</v>
      </c>
      <c r="C47" s="19">
        <v>4</v>
      </c>
      <c r="D47" s="16">
        <v>45852</v>
      </c>
      <c r="E47" s="17">
        <f t="shared" si="79"/>
        <v>45855</v>
      </c>
      <c r="F47" s="7">
        <v>0</v>
      </c>
    </row>
    <row r="48" spans="1:6" x14ac:dyDescent="0.25">
      <c r="A48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1.10.1</v>
      </c>
      <c r="B48" s="6" t="s">
        <v>23</v>
      </c>
      <c r="C48" s="19">
        <v>7</v>
      </c>
      <c r="D48" s="16">
        <v>45852</v>
      </c>
      <c r="E48" s="17">
        <f t="shared" si="79"/>
        <v>45858</v>
      </c>
      <c r="F48" s="7">
        <v>0</v>
      </c>
    </row>
    <row r="49" spans="1:6" x14ac:dyDescent="0.25">
      <c r="A49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1.10.2</v>
      </c>
      <c r="B49" s="6" t="s">
        <v>24</v>
      </c>
      <c r="C49" s="19">
        <v>30</v>
      </c>
      <c r="D49" s="16">
        <v>45859</v>
      </c>
      <c r="E49" s="17">
        <f t="shared" ref="E49:E52" si="80">IF(ISBLANK(D49)," - ",IF(C49=0,D49,D49+C49-1))</f>
        <v>45888</v>
      </c>
      <c r="F49" s="7">
        <v>0</v>
      </c>
    </row>
    <row r="50" spans="1:6" x14ac:dyDescent="0.25">
      <c r="A50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1.10.3</v>
      </c>
      <c r="B50" s="6" t="s">
        <v>31</v>
      </c>
      <c r="C50" s="19">
        <v>19</v>
      </c>
      <c r="D50" s="16">
        <v>45888</v>
      </c>
      <c r="E50" s="17">
        <f t="shared" si="80"/>
        <v>45906</v>
      </c>
      <c r="F50" s="7">
        <v>0</v>
      </c>
    </row>
    <row r="51" spans="1:6" x14ac:dyDescent="0.25">
      <c r="A51" s="4" t="str">
        <f t="shared" si="68"/>
        <v>1.11</v>
      </c>
      <c r="B51" s="5" t="s">
        <v>38</v>
      </c>
      <c r="C51" s="19">
        <v>4</v>
      </c>
      <c r="D51" s="16">
        <v>45907</v>
      </c>
      <c r="E51" s="17">
        <f t="shared" si="80"/>
        <v>45910</v>
      </c>
      <c r="F51" s="7">
        <v>0</v>
      </c>
    </row>
    <row r="52" spans="1:6" x14ac:dyDescent="0.25">
      <c r="A52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1.11.1</v>
      </c>
      <c r="B52" s="6" t="s">
        <v>23</v>
      </c>
      <c r="C52" s="19">
        <v>7</v>
      </c>
      <c r="D52" s="16">
        <v>45907</v>
      </c>
      <c r="E52" s="17">
        <f t="shared" si="80"/>
        <v>45913</v>
      </c>
      <c r="F52" s="7">
        <v>0</v>
      </c>
    </row>
    <row r="53" spans="1:6" x14ac:dyDescent="0.25">
      <c r="A53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1.11.2</v>
      </c>
      <c r="B53" s="6" t="s">
        <v>24</v>
      </c>
      <c r="C53" s="19">
        <v>30</v>
      </c>
      <c r="D53" s="16">
        <v>45913</v>
      </c>
      <c r="E53" s="17">
        <f t="shared" ref="E53:E56" si="81">IF(ISBLANK(D53)," - ",IF(C53=0,D53,D53+C53-1))</f>
        <v>45942</v>
      </c>
      <c r="F53" s="7">
        <v>0</v>
      </c>
    </row>
    <row r="54" spans="1:6" x14ac:dyDescent="0.25">
      <c r="A54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1.11.3</v>
      </c>
      <c r="B54" s="6" t="s">
        <v>31</v>
      </c>
      <c r="C54" s="19">
        <v>19</v>
      </c>
      <c r="D54" s="16">
        <v>45942</v>
      </c>
      <c r="E54" s="17">
        <f t="shared" si="81"/>
        <v>45960</v>
      </c>
      <c r="F54" s="7">
        <v>0</v>
      </c>
    </row>
    <row r="55" spans="1:6" x14ac:dyDescent="0.25">
      <c r="A55" s="4" t="str">
        <f t="shared" si="68"/>
        <v>1.12</v>
      </c>
      <c r="B55" s="5" t="s">
        <v>39</v>
      </c>
      <c r="C55" s="19">
        <v>4</v>
      </c>
      <c r="D55" s="16">
        <v>45961</v>
      </c>
      <c r="E55" s="17">
        <f t="shared" si="81"/>
        <v>45964</v>
      </c>
      <c r="F55" s="7">
        <v>0</v>
      </c>
    </row>
    <row r="56" spans="1:6" x14ac:dyDescent="0.25">
      <c r="A56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1.12.1</v>
      </c>
      <c r="B56" s="6" t="s">
        <v>23</v>
      </c>
      <c r="C56" s="19">
        <v>7</v>
      </c>
      <c r="D56" s="16">
        <v>45961</v>
      </c>
      <c r="E56" s="17">
        <f t="shared" si="81"/>
        <v>45967</v>
      </c>
      <c r="F56" s="7">
        <v>0</v>
      </c>
    </row>
    <row r="57" spans="1:6" x14ac:dyDescent="0.25">
      <c r="A57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1.12.2</v>
      </c>
      <c r="B57" s="6" t="s">
        <v>24</v>
      </c>
      <c r="C57" s="19">
        <v>30</v>
      </c>
      <c r="D57" s="16">
        <v>45968</v>
      </c>
      <c r="E57" s="17">
        <f t="shared" ref="E57:E60" si="82">IF(ISBLANK(D57)," - ",IF(C57=0,D57,D57+C57-1))</f>
        <v>45997</v>
      </c>
      <c r="F57" s="7">
        <v>0</v>
      </c>
    </row>
    <row r="58" spans="1:6" x14ac:dyDescent="0.25">
      <c r="A58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1.12.3</v>
      </c>
      <c r="B58" s="6" t="s">
        <v>31</v>
      </c>
      <c r="C58" s="19">
        <v>19</v>
      </c>
      <c r="D58" s="16">
        <v>45998</v>
      </c>
      <c r="E58" s="17">
        <f t="shared" si="82"/>
        <v>46016</v>
      </c>
      <c r="F58" s="7">
        <v>0</v>
      </c>
    </row>
    <row r="59" spans="1:6" x14ac:dyDescent="0.25">
      <c r="A59" s="4" t="str">
        <f t="shared" si="68"/>
        <v>1.13</v>
      </c>
      <c r="B59" s="5" t="s">
        <v>41</v>
      </c>
      <c r="C59" s="19">
        <v>4</v>
      </c>
      <c r="D59" s="16">
        <v>46017</v>
      </c>
      <c r="E59" s="17">
        <f t="shared" si="82"/>
        <v>46020</v>
      </c>
      <c r="F59" s="7">
        <v>0</v>
      </c>
    </row>
    <row r="60" spans="1:6" x14ac:dyDescent="0.25">
      <c r="A60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1.13.1</v>
      </c>
      <c r="B60" s="6" t="s">
        <v>23</v>
      </c>
      <c r="C60" s="19">
        <v>7</v>
      </c>
      <c r="D60" s="16">
        <v>46017</v>
      </c>
      <c r="E60" s="17">
        <f t="shared" si="82"/>
        <v>46023</v>
      </c>
      <c r="F60" s="7">
        <v>0</v>
      </c>
    </row>
    <row r="61" spans="1:6" x14ac:dyDescent="0.25">
      <c r="A61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1.13.2</v>
      </c>
      <c r="B61" s="6" t="s">
        <v>24</v>
      </c>
      <c r="C61" s="19">
        <v>30</v>
      </c>
      <c r="D61" s="16">
        <v>46024</v>
      </c>
      <c r="E61" s="17">
        <f t="shared" ref="E61:E64" si="83">IF(ISBLANK(D61)," - ",IF(C61=0,D61,D61+C61-1))</f>
        <v>46053</v>
      </c>
      <c r="F61" s="7">
        <v>0</v>
      </c>
    </row>
    <row r="62" spans="1:6" x14ac:dyDescent="0.25">
      <c r="A62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1.13.3</v>
      </c>
      <c r="B62" s="6" t="s">
        <v>31</v>
      </c>
      <c r="C62" s="19">
        <v>19</v>
      </c>
      <c r="D62" s="16">
        <v>46054</v>
      </c>
      <c r="E62" s="17">
        <f t="shared" si="83"/>
        <v>46072</v>
      </c>
      <c r="F62" s="7">
        <v>0</v>
      </c>
    </row>
    <row r="63" spans="1:6" x14ac:dyDescent="0.25">
      <c r="A63" s="4" t="str">
        <f t="shared" si="68"/>
        <v>1.14</v>
      </c>
      <c r="B63" s="5" t="s">
        <v>42</v>
      </c>
      <c r="C63" s="19">
        <v>4</v>
      </c>
      <c r="D63" s="16">
        <v>46073</v>
      </c>
      <c r="E63" s="17">
        <f t="shared" si="83"/>
        <v>46076</v>
      </c>
      <c r="F63" s="7">
        <v>0</v>
      </c>
    </row>
    <row r="64" spans="1:6" x14ac:dyDescent="0.25">
      <c r="A64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1.14.1</v>
      </c>
      <c r="B64" s="6" t="s">
        <v>23</v>
      </c>
      <c r="C64" s="19">
        <v>7</v>
      </c>
      <c r="D64" s="16">
        <v>46073</v>
      </c>
      <c r="E64" s="17">
        <f t="shared" si="83"/>
        <v>46079</v>
      </c>
      <c r="F64" s="7">
        <v>0</v>
      </c>
    </row>
    <row r="65" spans="1:6" x14ac:dyDescent="0.25">
      <c r="A65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1.14.2</v>
      </c>
      <c r="B65" s="6" t="s">
        <v>24</v>
      </c>
      <c r="C65" s="19">
        <v>30</v>
      </c>
      <c r="D65" s="16">
        <v>46079</v>
      </c>
      <c r="E65" s="17">
        <f t="shared" ref="E65:E68" si="84">IF(ISBLANK(D65)," - ",IF(C65=0,D65,D65+C65-1))</f>
        <v>46108</v>
      </c>
      <c r="F65" s="7">
        <v>0</v>
      </c>
    </row>
    <row r="66" spans="1:6" x14ac:dyDescent="0.25">
      <c r="A66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1.14.3</v>
      </c>
      <c r="B66" s="6" t="s">
        <v>31</v>
      </c>
      <c r="C66" s="19">
        <v>19</v>
      </c>
      <c r="D66" s="16">
        <v>46109</v>
      </c>
      <c r="E66" s="17">
        <f t="shared" si="84"/>
        <v>46127</v>
      </c>
      <c r="F66" s="7">
        <v>0</v>
      </c>
    </row>
    <row r="67" spans="1:6" x14ac:dyDescent="0.25">
      <c r="A67" s="4" t="str">
        <f t="shared" si="68"/>
        <v>1.15</v>
      </c>
      <c r="B67" s="5" t="s">
        <v>44</v>
      </c>
      <c r="C67" s="19">
        <v>4</v>
      </c>
      <c r="D67" s="16">
        <v>46128</v>
      </c>
      <c r="E67" s="17">
        <f t="shared" si="84"/>
        <v>46131</v>
      </c>
      <c r="F67" s="7">
        <v>0</v>
      </c>
    </row>
    <row r="68" spans="1:6" x14ac:dyDescent="0.25">
      <c r="A68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1.15.1</v>
      </c>
      <c r="B68" s="6" t="s">
        <v>23</v>
      </c>
      <c r="C68" s="19">
        <v>7</v>
      </c>
      <c r="D68" s="16">
        <v>46128</v>
      </c>
      <c r="E68" s="17">
        <f t="shared" si="84"/>
        <v>46134</v>
      </c>
      <c r="F68" s="7">
        <v>0</v>
      </c>
    </row>
    <row r="69" spans="1:6" x14ac:dyDescent="0.25">
      <c r="A69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1.15.2</v>
      </c>
      <c r="B69" s="6" t="s">
        <v>24</v>
      </c>
      <c r="C69" s="19">
        <v>30</v>
      </c>
      <c r="D69" s="16">
        <v>46134</v>
      </c>
      <c r="E69" s="17">
        <f t="shared" ref="E69:E72" si="85">IF(ISBLANK(D69)," - ",IF(C69=0,D69,D69+C69-1))</f>
        <v>46163</v>
      </c>
      <c r="F69" s="7">
        <v>0</v>
      </c>
    </row>
    <row r="70" spans="1:6" x14ac:dyDescent="0.25">
      <c r="A70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1.15.3</v>
      </c>
      <c r="B70" s="6" t="s">
        <v>31</v>
      </c>
      <c r="C70" s="19">
        <v>19</v>
      </c>
      <c r="D70" s="16">
        <v>46164</v>
      </c>
      <c r="E70" s="17">
        <f t="shared" si="85"/>
        <v>46182</v>
      </c>
      <c r="F70" s="7">
        <v>0</v>
      </c>
    </row>
    <row r="71" spans="1:6" x14ac:dyDescent="0.25">
      <c r="A71" s="4" t="str">
        <f t="shared" si="68"/>
        <v>1.16</v>
      </c>
      <c r="B71" s="5" t="s">
        <v>45</v>
      </c>
      <c r="C71" s="19">
        <v>4</v>
      </c>
      <c r="D71" s="16">
        <v>46183</v>
      </c>
      <c r="E71" s="17">
        <f t="shared" si="85"/>
        <v>46186</v>
      </c>
      <c r="F71" s="7">
        <v>0</v>
      </c>
    </row>
    <row r="72" spans="1:6" x14ac:dyDescent="0.25">
      <c r="A72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1.16.1</v>
      </c>
      <c r="B72" s="6" t="s">
        <v>23</v>
      </c>
      <c r="C72" s="19">
        <v>7</v>
      </c>
      <c r="D72" s="16">
        <v>46183</v>
      </c>
      <c r="E72" s="17">
        <f t="shared" si="85"/>
        <v>46189</v>
      </c>
      <c r="F72" s="7">
        <v>0</v>
      </c>
    </row>
    <row r="73" spans="1:6" x14ac:dyDescent="0.25">
      <c r="A73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1.16.2</v>
      </c>
      <c r="B73" s="6" t="s">
        <v>24</v>
      </c>
      <c r="C73" s="19">
        <v>30</v>
      </c>
      <c r="D73" s="16">
        <v>46190</v>
      </c>
      <c r="E73" s="17">
        <f t="shared" ref="E73:E74" si="86">IF(ISBLANK(D73)," - ",IF(C73=0,D73,D73+C73-1))</f>
        <v>46219</v>
      </c>
      <c r="F73" s="7">
        <v>0</v>
      </c>
    </row>
    <row r="74" spans="1:6" x14ac:dyDescent="0.25">
      <c r="A74" s="4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1.16.3</v>
      </c>
      <c r="B74" s="6" t="s">
        <v>31</v>
      </c>
      <c r="C74" s="19">
        <v>19</v>
      </c>
      <c r="D74" s="16">
        <v>46220</v>
      </c>
      <c r="E74" s="17">
        <f t="shared" si="86"/>
        <v>46238</v>
      </c>
      <c r="F74" s="7">
        <v>0</v>
      </c>
    </row>
    <row r="75" spans="1:6" x14ac:dyDescent="0.25">
      <c r="A75" s="4"/>
      <c r="B75" s="6"/>
      <c r="C75" s="19"/>
      <c r="D75" s="16"/>
      <c r="E75" s="17"/>
      <c r="F75" s="7"/>
    </row>
    <row r="76" spans="1:6" x14ac:dyDescent="0.25">
      <c r="A76" s="4"/>
      <c r="B76" s="6"/>
      <c r="C76" s="19"/>
      <c r="D76" s="16"/>
      <c r="E76" s="17"/>
      <c r="F76" s="7"/>
    </row>
    <row r="77" spans="1:6" x14ac:dyDescent="0.25">
      <c r="A77" s="4"/>
      <c r="B77" s="6"/>
      <c r="C77" s="19"/>
      <c r="D77" s="16"/>
      <c r="E77" s="17"/>
      <c r="F77" s="7"/>
    </row>
    <row r="78" spans="1:6" x14ac:dyDescent="0.25">
      <c r="A78" s="4"/>
      <c r="B78" s="6"/>
      <c r="C78" s="19"/>
      <c r="D78" s="16"/>
      <c r="E78" s="17"/>
      <c r="F78" s="7"/>
    </row>
    <row r="79" spans="1:6" x14ac:dyDescent="0.25">
      <c r="A79" s="4"/>
      <c r="B79" s="6"/>
      <c r="C79" s="19"/>
      <c r="D79" s="16"/>
      <c r="E79" s="17"/>
      <c r="F79" s="7"/>
    </row>
    <row r="80" spans="1:6" x14ac:dyDescent="0.25">
      <c r="A80" s="4"/>
      <c r="B80" s="6"/>
      <c r="C80" s="19"/>
      <c r="D80" s="16"/>
      <c r="E80" s="17"/>
      <c r="F80" s="7"/>
    </row>
    <row r="81" spans="1:6" x14ac:dyDescent="0.25">
      <c r="A81" s="4" t="str">
        <f t="shared" si="68"/>
        <v>0.1</v>
      </c>
      <c r="B81" s="6" t="s">
        <v>43</v>
      </c>
      <c r="C81" s="19">
        <v>19</v>
      </c>
      <c r="D81" s="16">
        <v>46220</v>
      </c>
      <c r="E81" s="17">
        <f t="shared" ref="E81" si="87">IF(ISBLANK(D81)," - ",IF(C81=0,D81,D81+C81-1))</f>
        <v>46238</v>
      </c>
      <c r="F81" s="7">
        <v>0</v>
      </c>
    </row>
    <row r="82" spans="1:6" x14ac:dyDescent="0.25">
      <c r="A82" s="4" t="str">
        <f t="shared" si="68"/>
        <v>0.2</v>
      </c>
      <c r="B82" s="5" t="s">
        <v>40</v>
      </c>
      <c r="C82" s="19">
        <v>1</v>
      </c>
      <c r="D82" s="16">
        <v>45260</v>
      </c>
      <c r="E82" s="17">
        <f t="shared" si="69"/>
        <v>45260</v>
      </c>
      <c r="F82" s="7">
        <v>1</v>
      </c>
    </row>
  </sheetData>
  <mergeCells count="18">
    <mergeCell ref="AI6:AO6"/>
    <mergeCell ref="AP6:AV6"/>
    <mergeCell ref="AW6:BC6"/>
    <mergeCell ref="BD6:BJ6"/>
    <mergeCell ref="C4:D4"/>
    <mergeCell ref="G6:M6"/>
    <mergeCell ref="N6:T6"/>
    <mergeCell ref="U6:AA6"/>
    <mergeCell ref="AB6:AH6"/>
    <mergeCell ref="G4:T4"/>
    <mergeCell ref="AW7:BC7"/>
    <mergeCell ref="BD7:BJ7"/>
    <mergeCell ref="G7:M7"/>
    <mergeCell ref="N7:T7"/>
    <mergeCell ref="U7:AA7"/>
    <mergeCell ref="AB7:AH7"/>
    <mergeCell ref="AI7:AO7"/>
    <mergeCell ref="AP7:AV7"/>
  </mergeCells>
  <conditionalFormatting sqref="F11:F14 F16:F17 F82">
    <cfRule type="dataBar" priority="187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{80F51AA8-8A5F-4DB9-980C-DA4DE01E31A2}</x14:id>
        </ext>
      </extLst>
    </cfRule>
  </conditionalFormatting>
  <conditionalFormatting sqref="G8">
    <cfRule type="expression" dxfId="134" priority="186">
      <formula>G$6=TODAY()</formula>
    </cfRule>
  </conditionalFormatting>
  <conditionalFormatting sqref="G8">
    <cfRule type="expression" dxfId="133" priority="185">
      <formula>G$6=TODAY()</formula>
    </cfRule>
  </conditionalFormatting>
  <conditionalFormatting sqref="G8:BJ14 G16:BJ17 G21:BJ21 G82:BJ82">
    <cfRule type="expression" dxfId="132" priority="182">
      <formula>"G$7=TODAY()"</formula>
    </cfRule>
  </conditionalFormatting>
  <conditionalFormatting sqref="G10:BJ14 G16:BJ17 G21:BJ21 G82:BJ82">
    <cfRule type="expression" dxfId="131" priority="183">
      <formula>AND($D10&lt;=G$8,ROUNDDOWN(($E10-$D10+1)*$F10,0)+$D10-1&gt;=G$8)</formula>
    </cfRule>
    <cfRule type="expression" dxfId="130" priority="184">
      <formula>AND(NOT(ISBLANK($D10)),$D10&lt;=G$8,$E10&gt;=G$8)</formula>
    </cfRule>
  </conditionalFormatting>
  <conditionalFormatting sqref="F15">
    <cfRule type="dataBar" priority="178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{83C0D25D-D485-4A26-B549-BAA7F587BA6B}</x14:id>
        </ext>
      </extLst>
    </cfRule>
  </conditionalFormatting>
  <conditionalFormatting sqref="G15:BJ15">
    <cfRule type="expression" dxfId="129" priority="175">
      <formula>"G$7=TODAY()"</formula>
    </cfRule>
  </conditionalFormatting>
  <conditionalFormatting sqref="G15:BJ15">
    <cfRule type="expression" dxfId="128" priority="176">
      <formula>AND($D15&lt;=G$8,ROUNDDOWN(($E15-$D15+1)*$F15,0)+$D15-1&gt;=G$8)</formula>
    </cfRule>
    <cfRule type="expression" dxfId="127" priority="177">
      <formula>AND(NOT(ISBLANK($D15)),$D15&lt;=G$8,$E15&gt;=G$8)</formula>
    </cfRule>
  </conditionalFormatting>
  <conditionalFormatting sqref="G19:BJ20">
    <cfRule type="expression" dxfId="126" priority="171">
      <formula>"G$7=TODAY()"</formula>
    </cfRule>
  </conditionalFormatting>
  <conditionalFormatting sqref="G19:BJ20">
    <cfRule type="expression" dxfId="125" priority="172">
      <formula>AND($D19&lt;=G$8,ROUNDDOWN(($E19-$D19+1)*$F19,0)+$D19-1&gt;=G$8)</formula>
    </cfRule>
    <cfRule type="expression" dxfId="124" priority="173">
      <formula>AND(NOT(ISBLANK($D19)),$D19&lt;=G$8,$E19&gt;=G$8)</formula>
    </cfRule>
  </conditionalFormatting>
  <conditionalFormatting sqref="F18">
    <cfRule type="dataBar" priority="17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{1A528CC1-6327-419D-958D-FF510AA81C7D}</x14:id>
        </ext>
      </extLst>
    </cfRule>
  </conditionalFormatting>
  <conditionalFormatting sqref="G18:BJ18">
    <cfRule type="expression" dxfId="123" priority="167">
      <formula>"G$7=TODAY()"</formula>
    </cfRule>
  </conditionalFormatting>
  <conditionalFormatting sqref="G18:BJ18">
    <cfRule type="expression" dxfId="122" priority="168">
      <formula>AND($D18&lt;=G$8,ROUNDDOWN(($E18-$D18+1)*$F18,0)+$D18-1&gt;=G$8)</formula>
    </cfRule>
    <cfRule type="expression" dxfId="121" priority="169">
      <formula>AND(NOT(ISBLANK($D18)),$D18&lt;=G$8,$E18&gt;=G$8)</formula>
    </cfRule>
  </conditionalFormatting>
  <conditionalFormatting sqref="G23:BJ24">
    <cfRule type="expression" dxfId="120" priority="163">
      <formula>"G$7=TODAY()"</formula>
    </cfRule>
  </conditionalFormatting>
  <conditionalFormatting sqref="G23:BJ24">
    <cfRule type="expression" dxfId="119" priority="164">
      <formula>AND($D23&lt;=G$8,ROUNDDOWN(($E23-$D23+1)*$F23,0)+$D23-1&gt;=G$8)</formula>
    </cfRule>
    <cfRule type="expression" dxfId="118" priority="165">
      <formula>AND(NOT(ISBLANK($D23)),$D23&lt;=G$8,$E23&gt;=G$8)</formula>
    </cfRule>
  </conditionalFormatting>
  <conditionalFormatting sqref="G22:BJ22">
    <cfRule type="expression" dxfId="117" priority="159">
      <formula>"G$7=TODAY()"</formula>
    </cfRule>
  </conditionalFormatting>
  <conditionalFormatting sqref="G22:BJ22">
    <cfRule type="expression" dxfId="116" priority="160">
      <formula>AND($D22&lt;=G$8,ROUNDDOWN(($E22-$D22+1)*$F22,0)+$D22-1&gt;=G$8)</formula>
    </cfRule>
    <cfRule type="expression" dxfId="115" priority="161">
      <formula>AND(NOT(ISBLANK($D22)),$D22&lt;=G$8,$E22&gt;=G$8)</formula>
    </cfRule>
  </conditionalFormatting>
  <conditionalFormatting sqref="G26:BJ27">
    <cfRule type="expression" dxfId="114" priority="155">
      <formula>"G$7=TODAY()"</formula>
    </cfRule>
  </conditionalFormatting>
  <conditionalFormatting sqref="G26:BJ27">
    <cfRule type="expression" dxfId="113" priority="156">
      <formula>AND($D26&lt;=G$8,ROUNDDOWN(($E26-$D26+1)*$F26,0)+$D26-1&gt;=G$8)</formula>
    </cfRule>
    <cfRule type="expression" dxfId="112" priority="157">
      <formula>AND(NOT(ISBLANK($D26)),$D26&lt;=G$8,$E26&gt;=G$8)</formula>
    </cfRule>
  </conditionalFormatting>
  <conditionalFormatting sqref="G25:BJ25">
    <cfRule type="expression" dxfId="111" priority="151">
      <formula>"G$7=TODAY()"</formula>
    </cfRule>
  </conditionalFormatting>
  <conditionalFormatting sqref="G25:BJ25">
    <cfRule type="expression" dxfId="110" priority="152">
      <formula>AND($D25&lt;=G$8,ROUNDDOWN(($E25-$D25+1)*$F25,0)+$D25-1&gt;=G$8)</formula>
    </cfRule>
    <cfRule type="expression" dxfId="109" priority="153">
      <formula>AND(NOT(ISBLANK($D25)),$D25&lt;=G$8,$E25&gt;=G$8)</formula>
    </cfRule>
  </conditionalFormatting>
  <conditionalFormatting sqref="G28:BJ28">
    <cfRule type="expression" dxfId="108" priority="147">
      <formula>"G$7=TODAY()"</formula>
    </cfRule>
  </conditionalFormatting>
  <conditionalFormatting sqref="G28:BJ28">
    <cfRule type="expression" dxfId="107" priority="148">
      <formula>AND($D28&lt;=G$8,ROUNDDOWN(($E28-$D28+1)*$F28,0)+$D28-1&gt;=G$8)</formula>
    </cfRule>
    <cfRule type="expression" dxfId="106" priority="149">
      <formula>AND(NOT(ISBLANK($D28)),$D28&lt;=G$8,$E28&gt;=G$8)</formula>
    </cfRule>
  </conditionalFormatting>
  <conditionalFormatting sqref="G30:BJ31">
    <cfRule type="expression" dxfId="105" priority="143">
      <formula>"G$7=TODAY()"</formula>
    </cfRule>
  </conditionalFormatting>
  <conditionalFormatting sqref="G30:BJ31">
    <cfRule type="expression" dxfId="104" priority="144">
      <formula>AND($D30&lt;=G$8,ROUNDDOWN(($E30-$D30+1)*$F30,0)+$D30-1&gt;=G$8)</formula>
    </cfRule>
    <cfRule type="expression" dxfId="103" priority="145">
      <formula>AND(NOT(ISBLANK($D30)),$D30&lt;=G$8,$E30&gt;=G$8)</formula>
    </cfRule>
  </conditionalFormatting>
  <conditionalFormatting sqref="G29:BJ29">
    <cfRule type="expression" dxfId="102" priority="139">
      <formula>"G$7=TODAY()"</formula>
    </cfRule>
  </conditionalFormatting>
  <conditionalFormatting sqref="G29:BJ29">
    <cfRule type="expression" dxfId="101" priority="140">
      <formula>AND($D29&lt;=G$8,ROUNDDOWN(($E29-$D29+1)*$F29,0)+$D29-1&gt;=G$8)</formula>
    </cfRule>
    <cfRule type="expression" dxfId="100" priority="141">
      <formula>AND(NOT(ISBLANK($D29)),$D29&lt;=G$8,$E29&gt;=G$8)</formula>
    </cfRule>
  </conditionalFormatting>
  <conditionalFormatting sqref="G33:BJ34">
    <cfRule type="expression" dxfId="99" priority="135">
      <formula>"G$7=TODAY()"</formula>
    </cfRule>
  </conditionalFormatting>
  <conditionalFormatting sqref="G33:BJ34">
    <cfRule type="expression" dxfId="98" priority="136">
      <formula>AND($D33&lt;=G$8,ROUNDDOWN(($E33-$D33+1)*$F33,0)+$D33-1&gt;=G$8)</formula>
    </cfRule>
    <cfRule type="expression" dxfId="97" priority="137">
      <formula>AND(NOT(ISBLANK($D33)),$D33&lt;=G$8,$E33&gt;=G$8)</formula>
    </cfRule>
  </conditionalFormatting>
  <conditionalFormatting sqref="G32:BJ32">
    <cfRule type="expression" dxfId="96" priority="131">
      <formula>"G$7=TODAY()"</formula>
    </cfRule>
  </conditionalFormatting>
  <conditionalFormatting sqref="G32:BJ32">
    <cfRule type="expression" dxfId="95" priority="132">
      <formula>AND($D32&lt;=G$8,ROUNDDOWN(($E32-$D32+1)*$F32,0)+$D32-1&gt;=G$8)</formula>
    </cfRule>
    <cfRule type="expression" dxfId="94" priority="133">
      <formula>AND(NOT(ISBLANK($D32)),$D32&lt;=G$8,$E32&gt;=G$8)</formula>
    </cfRule>
  </conditionalFormatting>
  <conditionalFormatting sqref="G40:BJ40">
    <cfRule type="expression" dxfId="93" priority="99">
      <formula>"G$7=TODAY()"</formula>
    </cfRule>
  </conditionalFormatting>
  <conditionalFormatting sqref="G44:BJ44">
    <cfRule type="expression" dxfId="92" priority="87">
      <formula>"G$7=TODAY()"</formula>
    </cfRule>
  </conditionalFormatting>
  <conditionalFormatting sqref="G52:BJ52">
    <cfRule type="expression" dxfId="91" priority="63">
      <formula>"G$7=TODAY()"</formula>
    </cfRule>
  </conditionalFormatting>
  <conditionalFormatting sqref="G56:BJ56">
    <cfRule type="expression" dxfId="90" priority="51">
      <formula>"G$7=TODAY()"</formula>
    </cfRule>
  </conditionalFormatting>
  <conditionalFormatting sqref="G35:BJ35">
    <cfRule type="expression" dxfId="89" priority="127">
      <formula>"G$7=TODAY()"</formula>
    </cfRule>
  </conditionalFormatting>
  <conditionalFormatting sqref="G35:BJ35">
    <cfRule type="expression" dxfId="88" priority="128">
      <formula>AND($D35&lt;=G$8,ROUNDDOWN(($E35-$D35+1)*$F35,0)+$D35-1&gt;=G$8)</formula>
    </cfRule>
    <cfRule type="expression" dxfId="87" priority="129">
      <formula>AND(NOT(ISBLANK($D35)),$D35&lt;=G$8,$E35&gt;=G$8)</formula>
    </cfRule>
  </conditionalFormatting>
  <conditionalFormatting sqref="G37:BJ38">
    <cfRule type="expression" dxfId="86" priority="123">
      <formula>"G$7=TODAY()"</formula>
    </cfRule>
  </conditionalFormatting>
  <conditionalFormatting sqref="G37:BJ38">
    <cfRule type="expression" dxfId="85" priority="124">
      <formula>AND($D37&lt;=G$8,ROUNDDOWN(($E37-$D37+1)*$F37,0)+$D37-1&gt;=G$8)</formula>
    </cfRule>
    <cfRule type="expression" dxfId="84" priority="125">
      <formula>AND(NOT(ISBLANK($D37)),$D37&lt;=G$8,$E37&gt;=G$8)</formula>
    </cfRule>
  </conditionalFormatting>
  <conditionalFormatting sqref="G36:BJ36">
    <cfRule type="expression" dxfId="83" priority="119">
      <formula>"G$7=TODAY()"</formula>
    </cfRule>
  </conditionalFormatting>
  <conditionalFormatting sqref="G36:BJ36">
    <cfRule type="expression" dxfId="82" priority="120">
      <formula>AND($D36&lt;=G$8,ROUNDDOWN(($E36-$D36+1)*$F36,0)+$D36-1&gt;=G$8)</formula>
    </cfRule>
    <cfRule type="expression" dxfId="81" priority="121">
      <formula>AND(NOT(ISBLANK($D36)),$D36&lt;=G$8,$E36&gt;=G$8)</formula>
    </cfRule>
  </conditionalFormatting>
  <conditionalFormatting sqref="G41:BJ42">
    <cfRule type="expression" dxfId="80" priority="103">
      <formula>"G$7=TODAY()"</formula>
    </cfRule>
  </conditionalFormatting>
  <conditionalFormatting sqref="G41:BJ42">
    <cfRule type="expression" dxfId="79" priority="104">
      <formula>AND($D41&lt;=G$8,ROUNDDOWN(($E41-$D41+1)*$F41,0)+$D41-1&gt;=G$8)</formula>
    </cfRule>
    <cfRule type="expression" dxfId="78" priority="105">
      <formula>AND(NOT(ISBLANK($D41)),$D41&lt;=G$8,$E41&gt;=G$8)</formula>
    </cfRule>
  </conditionalFormatting>
  <conditionalFormatting sqref="G60:BJ60">
    <cfRule type="expression" dxfId="77" priority="39">
      <formula>"G$7=TODAY()"</formula>
    </cfRule>
  </conditionalFormatting>
  <conditionalFormatting sqref="G40:BJ40">
    <cfRule type="expression" dxfId="76" priority="100">
      <formula>AND($D40&lt;=G$8,ROUNDDOWN(($E40-$D40+1)*$F40,0)+$D40-1&gt;=G$8)</formula>
    </cfRule>
    <cfRule type="expression" dxfId="75" priority="101">
      <formula>AND(NOT(ISBLANK($D40)),$D40&lt;=G$8,$E40&gt;=G$8)</formula>
    </cfRule>
  </conditionalFormatting>
  <conditionalFormatting sqref="G39:BJ39">
    <cfRule type="expression" dxfId="74" priority="107">
      <formula>"G$7=TODAY()"</formula>
    </cfRule>
  </conditionalFormatting>
  <conditionalFormatting sqref="G39:BJ39">
    <cfRule type="expression" dxfId="73" priority="108">
      <formula>AND($D39&lt;=G$8,ROUNDDOWN(($E39-$D39+1)*$F39,0)+$D39-1&gt;=G$8)</formula>
    </cfRule>
    <cfRule type="expression" dxfId="72" priority="109">
      <formula>AND(NOT(ISBLANK($D39)),$D39&lt;=G$8,$E39&gt;=G$8)</formula>
    </cfRule>
  </conditionalFormatting>
  <conditionalFormatting sqref="G45:BJ46">
    <cfRule type="expression" dxfId="71" priority="91">
      <formula>"G$7=TODAY()"</formula>
    </cfRule>
  </conditionalFormatting>
  <conditionalFormatting sqref="G45:BJ46">
    <cfRule type="expression" dxfId="70" priority="92">
      <formula>AND($D45&lt;=G$8,ROUNDDOWN(($E45-$D45+1)*$F45,0)+$D45-1&gt;=G$8)</formula>
    </cfRule>
    <cfRule type="expression" dxfId="69" priority="93">
      <formula>AND(NOT(ISBLANK($D45)),$D45&lt;=G$8,$E45&gt;=G$8)</formula>
    </cfRule>
  </conditionalFormatting>
  <conditionalFormatting sqref="G64:BJ64">
    <cfRule type="expression" dxfId="68" priority="27">
      <formula>"G$7=TODAY()"</formula>
    </cfRule>
  </conditionalFormatting>
  <conditionalFormatting sqref="G44:BJ44">
    <cfRule type="expression" dxfId="67" priority="88">
      <formula>AND($D44&lt;=G$8,ROUNDDOWN(($E44-$D44+1)*$F44,0)+$D44-1&gt;=G$8)</formula>
    </cfRule>
    <cfRule type="expression" dxfId="66" priority="89">
      <formula>AND(NOT(ISBLANK($D44)),$D44&lt;=G$8,$E44&gt;=G$8)</formula>
    </cfRule>
  </conditionalFormatting>
  <conditionalFormatting sqref="G68:BJ68">
    <cfRule type="expression" dxfId="65" priority="15">
      <formula>"G$7=TODAY()"</formula>
    </cfRule>
  </conditionalFormatting>
  <conditionalFormatting sqref="G52:BJ52">
    <cfRule type="expression" dxfId="64" priority="64">
      <formula>AND($D52&lt;=G$8,ROUNDDOWN(($E52-$D52+1)*$F52,0)+$D52-1&gt;=G$8)</formula>
    </cfRule>
    <cfRule type="expression" dxfId="63" priority="65">
      <formula>AND(NOT(ISBLANK($D52)),$D52&lt;=G$8,$E52&gt;=G$8)</formula>
    </cfRule>
  </conditionalFormatting>
  <conditionalFormatting sqref="G43:BJ43">
    <cfRule type="expression" dxfId="62" priority="95">
      <formula>"G$7=TODAY()"</formula>
    </cfRule>
  </conditionalFormatting>
  <conditionalFormatting sqref="G43:BJ43">
    <cfRule type="expression" dxfId="61" priority="96">
      <formula>AND($D43&lt;=G$8,ROUNDDOWN(($E43-$D43+1)*$F43,0)+$D43-1&gt;=G$8)</formula>
    </cfRule>
    <cfRule type="expression" dxfId="60" priority="97">
      <formula>AND(NOT(ISBLANK($D43)),$D43&lt;=G$8,$E43&gt;=G$8)</formula>
    </cfRule>
  </conditionalFormatting>
  <conditionalFormatting sqref="G49:BJ50">
    <cfRule type="expression" dxfId="59" priority="79">
      <formula>"G$7=TODAY()"</formula>
    </cfRule>
  </conditionalFormatting>
  <conditionalFormatting sqref="G49:BJ50">
    <cfRule type="expression" dxfId="58" priority="80">
      <formula>AND($D49&lt;=G$8,ROUNDDOWN(($E49-$D49+1)*$F49,0)+$D49-1&gt;=G$8)</formula>
    </cfRule>
    <cfRule type="expression" dxfId="57" priority="81">
      <formula>AND(NOT(ISBLANK($D49)),$D49&lt;=G$8,$E49&gt;=G$8)</formula>
    </cfRule>
  </conditionalFormatting>
  <conditionalFormatting sqref="G48:BJ48">
    <cfRule type="expression" dxfId="56" priority="75">
      <formula>"G$7=TODAY()"</formula>
    </cfRule>
  </conditionalFormatting>
  <conditionalFormatting sqref="G48:BJ48">
    <cfRule type="expression" dxfId="55" priority="76">
      <formula>AND($D48&lt;=G$8,ROUNDDOWN(($E48-$D48+1)*$F48,0)+$D48-1&gt;=G$8)</formula>
    </cfRule>
    <cfRule type="expression" dxfId="54" priority="77">
      <formula>AND(NOT(ISBLANK($D48)),$D48&lt;=G$8,$E48&gt;=G$8)</formula>
    </cfRule>
  </conditionalFormatting>
  <conditionalFormatting sqref="G47:BJ47">
    <cfRule type="expression" dxfId="53" priority="83">
      <formula>"G$7=TODAY()"</formula>
    </cfRule>
  </conditionalFormatting>
  <conditionalFormatting sqref="G47:BJ47">
    <cfRule type="expression" dxfId="52" priority="84">
      <formula>AND($D47&lt;=G$8,ROUNDDOWN(($E47-$D47+1)*$F47,0)+$D47-1&gt;=G$8)</formula>
    </cfRule>
    <cfRule type="expression" dxfId="51" priority="85">
      <formula>AND(NOT(ISBLANK($D47)),$D47&lt;=G$8,$E47&gt;=G$8)</formula>
    </cfRule>
  </conditionalFormatting>
  <conditionalFormatting sqref="G53:BJ54 G81:BJ81">
    <cfRule type="expression" dxfId="50" priority="67">
      <formula>"G$7=TODAY()"</formula>
    </cfRule>
  </conditionalFormatting>
  <conditionalFormatting sqref="G53:BJ54 G81:BJ81">
    <cfRule type="expression" dxfId="49" priority="68">
      <formula>AND($D53&lt;=G$8,ROUNDDOWN(($E53-$D53+1)*$F53,0)+$D53-1&gt;=G$8)</formula>
    </cfRule>
    <cfRule type="expression" dxfId="48" priority="69">
      <formula>AND(NOT(ISBLANK($D53)),$D53&lt;=G$8,$E53&gt;=G$8)</formula>
    </cfRule>
  </conditionalFormatting>
  <conditionalFormatting sqref="G56:BJ56">
    <cfRule type="expression" dxfId="47" priority="52">
      <formula>AND($D56&lt;=G$8,ROUNDDOWN(($E56-$D56+1)*$F56,0)+$D56-1&gt;=G$8)</formula>
    </cfRule>
    <cfRule type="expression" dxfId="46" priority="53">
      <formula>AND(NOT(ISBLANK($D56)),$D56&lt;=G$8,$E56&gt;=G$8)</formula>
    </cfRule>
  </conditionalFormatting>
  <conditionalFormatting sqref="G51:BJ51">
    <cfRule type="expression" dxfId="45" priority="71">
      <formula>"G$7=TODAY()"</formula>
    </cfRule>
  </conditionalFormatting>
  <conditionalFormatting sqref="G51:BJ51">
    <cfRule type="expression" dxfId="44" priority="72">
      <formula>AND($D51&lt;=G$8,ROUNDDOWN(($E51-$D51+1)*$F51,0)+$D51-1&gt;=G$8)</formula>
    </cfRule>
    <cfRule type="expression" dxfId="43" priority="73">
      <formula>AND(NOT(ISBLANK($D51)),$D51&lt;=G$8,$E51&gt;=G$8)</formula>
    </cfRule>
  </conditionalFormatting>
  <conditionalFormatting sqref="G57:BJ58">
    <cfRule type="expression" dxfId="42" priority="55">
      <formula>"G$7=TODAY()"</formula>
    </cfRule>
  </conditionalFormatting>
  <conditionalFormatting sqref="G57:BJ58">
    <cfRule type="expression" dxfId="41" priority="56">
      <formula>AND($D57&lt;=G$8,ROUNDDOWN(($E57-$D57+1)*$F57,0)+$D57-1&gt;=G$8)</formula>
    </cfRule>
    <cfRule type="expression" dxfId="40" priority="57">
      <formula>AND(NOT(ISBLANK($D57)),$D57&lt;=G$8,$E57&gt;=G$8)</formula>
    </cfRule>
  </conditionalFormatting>
  <conditionalFormatting sqref="G60:BJ60">
    <cfRule type="expression" dxfId="39" priority="40">
      <formula>AND($D60&lt;=G$8,ROUNDDOWN(($E60-$D60+1)*$F60,0)+$D60-1&gt;=G$8)</formula>
    </cfRule>
    <cfRule type="expression" dxfId="38" priority="41">
      <formula>AND(NOT(ISBLANK($D60)),$D60&lt;=G$8,$E60&gt;=G$8)</formula>
    </cfRule>
  </conditionalFormatting>
  <conditionalFormatting sqref="G55:BJ55">
    <cfRule type="expression" dxfId="37" priority="59">
      <formula>"G$7=TODAY()"</formula>
    </cfRule>
  </conditionalFormatting>
  <conditionalFormatting sqref="G55:BJ55">
    <cfRule type="expression" dxfId="36" priority="60">
      <formula>AND($D55&lt;=G$8,ROUNDDOWN(($E55-$D55+1)*$F55,0)+$D55-1&gt;=G$8)</formula>
    </cfRule>
    <cfRule type="expression" dxfId="35" priority="61">
      <formula>AND(NOT(ISBLANK($D55)),$D55&lt;=G$8,$E55&gt;=G$8)</formula>
    </cfRule>
  </conditionalFormatting>
  <conditionalFormatting sqref="G64:BJ64">
    <cfRule type="expression" dxfId="34" priority="28">
      <formula>AND($D64&lt;=G$8,ROUNDDOWN(($E64-$D64+1)*$F64,0)+$D64-1&gt;=G$8)</formula>
    </cfRule>
    <cfRule type="expression" dxfId="33" priority="29">
      <formula>AND(NOT(ISBLANK($D64)),$D64&lt;=G$8,$E64&gt;=G$8)</formula>
    </cfRule>
  </conditionalFormatting>
  <conditionalFormatting sqref="G59:BJ59">
    <cfRule type="expression" dxfId="32" priority="47">
      <formula>"G$7=TODAY()"</formula>
    </cfRule>
  </conditionalFormatting>
  <conditionalFormatting sqref="G59:BJ59">
    <cfRule type="expression" dxfId="31" priority="48">
      <formula>AND($D59&lt;=G$8,ROUNDDOWN(($E59-$D59+1)*$F59,0)+$D59-1&gt;=G$8)</formula>
    </cfRule>
    <cfRule type="expression" dxfId="30" priority="49">
      <formula>AND(NOT(ISBLANK($D59)),$D59&lt;=G$8,$E59&gt;=G$8)</formula>
    </cfRule>
  </conditionalFormatting>
  <conditionalFormatting sqref="G61:BJ62">
    <cfRule type="expression" dxfId="29" priority="43">
      <formula>"G$7=TODAY()"</formula>
    </cfRule>
  </conditionalFormatting>
  <conditionalFormatting sqref="G61:BJ62">
    <cfRule type="expression" dxfId="28" priority="44">
      <formula>AND($D61&lt;=G$8,ROUNDDOWN(($E61-$D61+1)*$F61,0)+$D61-1&gt;=G$8)</formula>
    </cfRule>
    <cfRule type="expression" dxfId="27" priority="45">
      <formula>AND(NOT(ISBLANK($D61)),$D61&lt;=G$8,$E61&gt;=G$8)</formula>
    </cfRule>
  </conditionalFormatting>
  <conditionalFormatting sqref="G68:BJ68">
    <cfRule type="expression" dxfId="26" priority="16">
      <formula>AND($D68&lt;=G$8,ROUNDDOWN(($E68-$D68+1)*$F68,0)+$D68-1&gt;=G$8)</formula>
    </cfRule>
    <cfRule type="expression" dxfId="25" priority="17">
      <formula>AND(NOT(ISBLANK($D68)),$D68&lt;=G$8,$E68&gt;=G$8)</formula>
    </cfRule>
  </conditionalFormatting>
  <conditionalFormatting sqref="G63:BJ63">
    <cfRule type="expression" dxfId="24" priority="35">
      <formula>"G$7=TODAY()"</formula>
    </cfRule>
  </conditionalFormatting>
  <conditionalFormatting sqref="G63:BJ63">
    <cfRule type="expression" dxfId="23" priority="36">
      <formula>AND($D63&lt;=G$8,ROUNDDOWN(($E63-$D63+1)*$F63,0)+$D63-1&gt;=G$8)</formula>
    </cfRule>
    <cfRule type="expression" dxfId="22" priority="37">
      <formula>AND(NOT(ISBLANK($D63)),$D63&lt;=G$8,$E63&gt;=G$8)</formula>
    </cfRule>
  </conditionalFormatting>
  <conditionalFormatting sqref="F77:F80">
    <cfRule type="dataBar" priority="3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{A982A0D1-D5F5-45ED-8E7F-E1727711750B}</x14:id>
        </ext>
      </extLst>
    </cfRule>
  </conditionalFormatting>
  <conditionalFormatting sqref="G65:BJ66 G77:BJ80">
    <cfRule type="expression" dxfId="21" priority="31">
      <formula>"G$7=TODAY()"</formula>
    </cfRule>
  </conditionalFormatting>
  <conditionalFormatting sqref="G65:BJ66 G77:BJ80">
    <cfRule type="expression" dxfId="20" priority="32">
      <formula>AND($D65&lt;=G$8,ROUNDDOWN(($E65-$D65+1)*$F65,0)+$D65-1&gt;=G$8)</formula>
    </cfRule>
    <cfRule type="expression" dxfId="19" priority="33">
      <formula>AND(NOT(ISBLANK($D65)),$D65&lt;=G$8,$E65&gt;=G$8)</formula>
    </cfRule>
  </conditionalFormatting>
  <conditionalFormatting sqref="G67:BJ67">
    <cfRule type="expression" dxfId="18" priority="23">
      <formula>"G$7=TODAY()"</formula>
    </cfRule>
  </conditionalFormatting>
  <conditionalFormatting sqref="G67:BJ67">
    <cfRule type="expression" dxfId="17" priority="24">
      <formula>AND($D67&lt;=G$8,ROUNDDOWN(($E67-$D67+1)*$F67,0)+$D67-1&gt;=G$8)</formula>
    </cfRule>
    <cfRule type="expression" dxfId="16" priority="25">
      <formula>AND(NOT(ISBLANK($D67)),$D67&lt;=G$8,$E67&gt;=G$8)</formula>
    </cfRule>
  </conditionalFormatting>
  <conditionalFormatting sqref="F75:F76">
    <cfRule type="dataBar" priority="2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{591227A8-643A-4D74-AD51-880199160CEB}</x14:id>
        </ext>
      </extLst>
    </cfRule>
  </conditionalFormatting>
  <conditionalFormatting sqref="G69:BJ70 G75:BJ76">
    <cfRule type="expression" dxfId="15" priority="19">
      <formula>"G$7=TODAY()"</formula>
    </cfRule>
  </conditionalFormatting>
  <conditionalFormatting sqref="G69:BJ70 G75:BJ76">
    <cfRule type="expression" dxfId="14" priority="20">
      <formula>AND($D69&lt;=G$8,ROUNDDOWN(($E69-$D69+1)*$F69,0)+$D69-1&gt;=G$8)</formula>
    </cfRule>
    <cfRule type="expression" dxfId="13" priority="21">
      <formula>AND(NOT(ISBLANK($D69)),$D69&lt;=G$8,$E69&gt;=G$8)</formula>
    </cfRule>
  </conditionalFormatting>
  <conditionalFormatting sqref="G72:BJ72">
    <cfRule type="expression" dxfId="12" priority="3">
      <formula>"G$7=TODAY()"</formula>
    </cfRule>
  </conditionalFormatting>
  <conditionalFormatting sqref="G72:BJ72">
    <cfRule type="expression" dxfId="11" priority="4">
      <formula>AND($D72&lt;=G$8,ROUNDDOWN(($E72-$D72+1)*$F72,0)+$D72-1&gt;=G$8)</formula>
    </cfRule>
    <cfRule type="expression" dxfId="10" priority="5">
      <formula>AND(NOT(ISBLANK($D72)),$D72&lt;=G$8,$E72&gt;=G$8)</formula>
    </cfRule>
  </conditionalFormatting>
  <conditionalFormatting sqref="G71:BJ71">
    <cfRule type="expression" dxfId="9" priority="11">
      <formula>"G$7=TODAY()"</formula>
    </cfRule>
  </conditionalFormatting>
  <conditionalFormatting sqref="G71:BJ71">
    <cfRule type="expression" dxfId="8" priority="12">
      <formula>AND($D71&lt;=G$8,ROUNDDOWN(($E71-$D71+1)*$F71,0)+$D71-1&gt;=G$8)</formula>
    </cfRule>
    <cfRule type="expression" dxfId="7" priority="13">
      <formula>AND(NOT(ISBLANK($D71)),$D71&lt;=G$8,$E71&gt;=G$8)</formula>
    </cfRule>
  </conditionalFormatting>
  <conditionalFormatting sqref="G73:BJ74">
    <cfRule type="expression" dxfId="6" priority="7">
      <formula>"G$7=TODAY()"</formula>
    </cfRule>
  </conditionalFormatting>
  <conditionalFormatting sqref="G73:BJ74">
    <cfRule type="expression" dxfId="5" priority="8">
      <formula>AND($D73&lt;=G$8,ROUNDDOWN(($E73-$D73+1)*$F73,0)+$D73-1&gt;=G$8)</formula>
    </cfRule>
    <cfRule type="expression" dxfId="4" priority="9">
      <formula>AND(NOT(ISBLANK($D73)),$D73&lt;=G$8,$E73&gt;=G$8)</formula>
    </cfRule>
  </conditionalFormatting>
  <conditionalFormatting sqref="F19:F74">
    <cfRule type="dataBar" priority="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{B323E203-126E-4786-BBAF-9A5D2322AD46}</x14:id>
        </ext>
      </extLst>
    </cfRule>
  </conditionalFormatting>
  <conditionalFormatting sqref="F81">
    <cfRule type="dataBar" priority="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{E038FEAE-F979-4BEA-9F3C-3579FC49BF48}</x14:id>
        </ext>
      </extLst>
    </cfRule>
  </conditionalFormatting>
  <pageMargins left="0.7" right="0.7" top="0.75" bottom="0.75" header="0.3" footer="0.3"/>
  <pageSetup paperSize="8" scale="8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F51AA8-8A5F-4DB9-980C-DA4DE01E31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F11:F14 F16:F17 F82</xm:sqref>
        </x14:conditionalFormatting>
        <x14:conditionalFormatting xmlns:xm="http://schemas.microsoft.com/office/excel/2006/main">
          <x14:cfRule type="dataBar" id="{83C0D25D-D485-4A26-B549-BAA7F587BA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F15</xm:sqref>
        </x14:conditionalFormatting>
        <x14:conditionalFormatting xmlns:xm="http://schemas.microsoft.com/office/excel/2006/main">
          <x14:cfRule type="dataBar" id="{1A528CC1-6327-419D-958D-FF510AA81C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F18</xm:sqref>
        </x14:conditionalFormatting>
        <x14:conditionalFormatting xmlns:xm="http://schemas.microsoft.com/office/excel/2006/main">
          <x14:cfRule type="dataBar" id="{A982A0D1-D5F5-45ED-8E7F-E172771175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F77:F80</xm:sqref>
        </x14:conditionalFormatting>
        <x14:conditionalFormatting xmlns:xm="http://schemas.microsoft.com/office/excel/2006/main">
          <x14:cfRule type="dataBar" id="{591227A8-643A-4D74-AD51-880199160C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F75:F76</xm:sqref>
        </x14:conditionalFormatting>
        <x14:conditionalFormatting xmlns:xm="http://schemas.microsoft.com/office/excel/2006/main">
          <x14:cfRule type="dataBar" id="{B323E203-126E-4786-BBAF-9A5D2322AD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F19:F74</xm:sqref>
        </x14:conditionalFormatting>
        <x14:conditionalFormatting xmlns:xm="http://schemas.microsoft.com/office/excel/2006/main">
          <x14:cfRule type="dataBar" id="{E038FEAE-F979-4BEA-9F3C-3579FC49BF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Mokhamad Yusuf</dc:creator>
  <cp:lastModifiedBy>user</cp:lastModifiedBy>
  <cp:lastPrinted>2023-12-07T06:35:22Z</cp:lastPrinted>
  <dcterms:created xsi:type="dcterms:W3CDTF">2023-12-07T06:09:28Z</dcterms:created>
  <dcterms:modified xsi:type="dcterms:W3CDTF">2024-07-29T09:30:40Z</dcterms:modified>
</cp:coreProperties>
</file>